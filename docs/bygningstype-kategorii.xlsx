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29558af28cbeda8/Projects/Streif/.claude/worktrees/musing-moore-821b72/docs/"/>
    </mc:Choice>
  </mc:AlternateContent>
  <xr:revisionPtr revIDLastSave="120" documentId="11_FE568E5CCF82DF5A0486F3AD5111E3A93BF88C45" xr6:coauthVersionLast="47" xr6:coauthVersionMax="47" xr10:uidLastSave="{9F5F3A56-3042-4693-BF55-460771C7F979}"/>
  <bookViews>
    <workbookView xWindow="-120" yWindow="-120" windowWidth="38640" windowHeight="21120" xr2:uid="{00000000-000D-0000-FFFF-FFFF00000000}"/>
  </bookViews>
  <sheets>
    <sheet name="Розподіл" sheetId="1" r:id="rId1"/>
    <sheet name="Групи SSB" sheetId="2" r:id="rId2"/>
    <sheet name="Палітра" sheetId="3" r:id="rId3"/>
    <sheet name="Як користуватись" sheetId="4" r:id="rId4"/>
  </sheets>
  <calcPr calcId="191029"/>
  <pivotCaches>
    <pivotCache cacheId="28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2" l="1"/>
  <c r="D38" i="2"/>
  <c r="C38" i="2"/>
  <c r="E38" i="1"/>
  <c r="D38" i="1"/>
  <c r="C38" i="1"/>
</calcChain>
</file>

<file path=xl/sharedStrings.xml><?xml version="1.0" encoding="utf-8"?>
<sst xmlns="http://schemas.openxmlformats.org/spreadsheetml/2006/main" count="461" uniqueCount="158">
  <si>
    <t>Група SSB</t>
  </si>
  <si>
    <t>Верхній рівень SSB</t>
  </si>
  <si>
    <t>Кодів</t>
  </si>
  <si>
    <t>Усього</t>
  </si>
  <si>
    <t>Досяжних</t>
  </si>
  <si>
    <t>Є в комунах (з 27)</t>
  </si>
  <si>
    <t>≥5 у комунах</t>
  </si>
  <si>
    <t>НАШІ 6 зараз</t>
  </si>
  <si>
    <t>Схема 8</t>
  </si>
  <si>
    <t>Схема 12</t>
  </si>
  <si>
    <t>Коди bygningstype</t>
  </si>
  <si>
    <t>Enebolig</t>
  </si>
  <si>
    <t>Bolig</t>
  </si>
  <si>
    <t>housing</t>
  </si>
  <si>
    <t>111, 112, 113</t>
  </si>
  <si>
    <t>Garasje og uthus til bolig</t>
  </si>
  <si>
    <t>outbuilding</t>
  </si>
  <si>
    <t>Garasje/uthus</t>
  </si>
  <si>
    <t>181, 182, 183</t>
  </si>
  <si>
    <t>Fiskeri- og landbruksbygning</t>
  </si>
  <si>
    <t>Industri og lagerbygning</t>
  </si>
  <si>
    <t>Driftsbygg</t>
  </si>
  <si>
    <t>Landbruk/fiske</t>
  </si>
  <si>
    <t>241, 243, 244, 245, 248, 249</t>
  </si>
  <si>
    <t>Fritidsbolig</t>
  </si>
  <si>
    <t>hytte</t>
  </si>
  <si>
    <t>Hytte</t>
  </si>
  <si>
    <t>161, 162, 163</t>
  </si>
  <si>
    <t>Tomannsbolig</t>
  </si>
  <si>
    <t>121, 122, 123, 124</t>
  </si>
  <si>
    <t>Rekkehus, kjedehus, andre småhus</t>
  </si>
  <si>
    <t>Rekkehus/småhus</t>
  </si>
  <si>
    <t>131, 133, 135, 136</t>
  </si>
  <si>
    <t>Industribygning</t>
  </si>
  <si>
    <t>other</t>
  </si>
  <si>
    <t>Industri</t>
  </si>
  <si>
    <t>211, 212, 214, 216, 219</t>
  </si>
  <si>
    <t>Lagerbygning</t>
  </si>
  <si>
    <t>Lager</t>
  </si>
  <si>
    <t>231, 232, 233, 239</t>
  </si>
  <si>
    <t>Bygning for overnatting</t>
  </si>
  <si>
    <t>Hotell-  og restaurantbygning</t>
  </si>
  <si>
    <t>public</t>
  </si>
  <si>
    <t>Handel/service</t>
  </si>
  <si>
    <t>Servering</t>
  </si>
  <si>
    <t>521, 522, 523, 524, 529</t>
  </si>
  <si>
    <t>Forretningsbygning</t>
  </si>
  <si>
    <t>Kontor- og forretningsbygning</t>
  </si>
  <si>
    <t>Handel/kontor</t>
  </si>
  <si>
    <t>321, 322, 323, 329, 330</t>
  </si>
  <si>
    <t>Store boligbygg</t>
  </si>
  <si>
    <t>141, 142, 143, 144, 145, 146</t>
  </si>
  <si>
    <t>Koie, seterhus og lignende</t>
  </si>
  <si>
    <t>171, 172</t>
  </si>
  <si>
    <t>Skolebygning</t>
  </si>
  <si>
    <t>Kultur- og forskningsbygning</t>
  </si>
  <si>
    <t>Samfunn/kultur</t>
  </si>
  <si>
    <t>Samfunn/skole</t>
  </si>
  <si>
    <t>611, 612, 613, 614, 615, 616, 619</t>
  </si>
  <si>
    <t>Kontorbygning</t>
  </si>
  <si>
    <t>311, 312, 313, 319</t>
  </si>
  <si>
    <t>Bygning for religiøse aktiviteter</t>
  </si>
  <si>
    <t>sacral</t>
  </si>
  <si>
    <t>Sakral</t>
  </si>
  <si>
    <t>671, 672, 673, 674, 675, 679</t>
  </si>
  <si>
    <t>Idrettsbygning</t>
  </si>
  <si>
    <t>651, 652, 653, 654, 655, 659</t>
  </si>
  <si>
    <t>Kulturhus</t>
  </si>
  <si>
    <t>661, 662, 663, 669</t>
  </si>
  <si>
    <t>Annen boligbygning</t>
  </si>
  <si>
    <t>193, 199</t>
  </si>
  <si>
    <t>(без групи)</t>
  </si>
  <si>
    <t>(немає)</t>
  </si>
  <si>
    <t>Andre</t>
  </si>
  <si>
    <t>956, 970, 999</t>
  </si>
  <si>
    <t>Bygning for bofellesskap</t>
  </si>
  <si>
    <t>151, 152, 159</t>
  </si>
  <si>
    <t>Restaurantbygning</t>
  </si>
  <si>
    <t>531, 532, 533, 539</t>
  </si>
  <si>
    <t>Museums- og biblioteksbygning</t>
  </si>
  <si>
    <t>641, 642, 643, 649</t>
  </si>
  <si>
    <t>Garasje- og hangarbygning</t>
  </si>
  <si>
    <t>Samferdsels- og kommunikasjonsbygning</t>
  </si>
  <si>
    <t>431, 439</t>
  </si>
  <si>
    <t>Sykehjem</t>
  </si>
  <si>
    <t>Helsebygning</t>
  </si>
  <si>
    <t>721, 722, 723, 729</t>
  </si>
  <si>
    <t>Ekspedisjonsbygning, terminal</t>
  </si>
  <si>
    <t>411, 412, 415, 416, 419</t>
  </si>
  <si>
    <t>Hotellbygning</t>
  </si>
  <si>
    <t>511, 512, 519</t>
  </si>
  <si>
    <t>Beredskapsbygning</t>
  </si>
  <si>
    <t>Fengsel, beredskapsbygning mv.</t>
  </si>
  <si>
    <t>821, 822, 823, 824, 825, 829</t>
  </si>
  <si>
    <t>Primærhelsebygning</t>
  </si>
  <si>
    <t>731, 732, 739</t>
  </si>
  <si>
    <t>Veg- og trafikktilsynsbygning</t>
  </si>
  <si>
    <t>441, 449</t>
  </si>
  <si>
    <t>Offentlig toalett</t>
  </si>
  <si>
    <t>840</t>
  </si>
  <si>
    <t>Universitet- og høgskolebygning</t>
  </si>
  <si>
    <t>621, 623, 629</t>
  </si>
  <si>
    <t>Sykehus</t>
  </si>
  <si>
    <t>719</t>
  </si>
  <si>
    <t>Monument</t>
  </si>
  <si>
    <t>830</t>
  </si>
  <si>
    <t>Energiforsyningsbygning</t>
  </si>
  <si>
    <t>221, 223, 229</t>
  </si>
  <si>
    <t>Telekommunikasjonsbygning</t>
  </si>
  <si>
    <t>429</t>
  </si>
  <si>
    <t>Fengselsbygning</t>
  </si>
  <si>
    <t>819</t>
  </si>
  <si>
    <t>ВСЬОГО</t>
  </si>
  <si>
    <t>Верхній рівень</t>
  </si>
  <si>
    <t>Усього обʼєктів</t>
  </si>
  <si>
    <t>Досяжних (D6)</t>
  </si>
  <si>
    <t>Схема</t>
  </si>
  <si>
    <t>Категорія</t>
  </si>
  <si>
    <t>HEX</t>
  </si>
  <si>
    <t>Зразок</t>
  </si>
  <si>
    <t>Зараз (6)</t>
  </si>
  <si>
    <t>#3FA340</t>
  </si>
  <si>
    <t>#F2A007</t>
  </si>
  <si>
    <t>#2479C2</t>
  </si>
  <si>
    <t>#9A3DC2</t>
  </si>
  <si>
    <t>#E0392B</t>
  </si>
  <si>
    <t>#CC5599</t>
  </si>
  <si>
    <t>#7A5C2E</t>
  </si>
  <si>
    <t>#16A6A0</t>
  </si>
  <si>
    <t>#8A8A96</t>
  </si>
  <si>
    <t>#2E7D32</t>
  </si>
  <si>
    <t>#4CAF50</t>
  </si>
  <si>
    <t>#8BC34A</t>
  </si>
  <si>
    <t>#5C6B7A</t>
  </si>
  <si>
    <t>#A1887F</t>
  </si>
  <si>
    <t>#D81B60</t>
  </si>
  <si>
    <t>Пункт</t>
  </si>
  <si>
    <t>Пояснення</t>
  </si>
  <si>
    <t>Що це</t>
  </si>
  <si>
    <t>Розподіл 129 кодів bygningstype (Matrikkelen) по 36 групах SSB KLASS #31 і по наших категоріях.</t>
  </si>
  <si>
    <t>Джерело чисел</t>
  </si>
  <si>
    <t>manifest.json з R2 (заморожений знімок від 2026-07-20, release-checklist §B.7): регіон Møre og Romsdal, 27 комун.</t>
  </si>
  <si>
    <t>«Усього» проти «Досяжних»</t>
  </si>
  <si>
    <t>«Досяжних» = D6: лише будівлі, до яких можна дійти пішою мережею. Саме вони — знаменники колекцій.</t>
  </si>
  <si>
    <t>Колонка «НАШІ 6 зараз»</t>
  </si>
  <si>
    <t>Те, що реально в тайлах сьогодні (build_tiles.py::category). Ніде не обґрунтовано — див. 08 §15.1.</t>
  </si>
  <si>
    <t>Колонки «Схема 8» / «Схема 12»</t>
  </si>
  <si>
    <t>Пропозиції з 08 §15.3 і §15.6. Заливка = запропонований колір категорії.</t>
  </si>
  <si>
    <t>Що міняти</t>
  </si>
  <si>
    <t>Колонки I та J — це просто мітки. Переписуй їх як хочеш; на аркуші «Палітра» лежать кольори.</t>
  </si>
  <si>
    <t>⚠️ Чого таблиця не показує</t>
  </si>
  <si>
    <t>Зміна категорій = перезбірка тайлів + міграція старих візитів (4,1% будівель не мають коду bt взагалі).</t>
  </si>
  <si>
    <t>Semden 12</t>
  </si>
  <si>
    <t>Radetiketter</t>
  </si>
  <si>
    <t>Totalsum</t>
  </si>
  <si>
    <t>Summer av Досяжних</t>
  </si>
  <si>
    <t>Summer av Є в комунах (з 27)</t>
  </si>
  <si>
    <t>Summer av ≥5 у комунах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</si>
</sst>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color rgb="FF000000"/>
      <name val="Arial"/>
    </font>
    <font>
      <b/>
      <sz val="10"/>
      <name val="Arial"/>
    </font>
    <font>
      <b/>
      <sz val="10"/>
      <color rgb="FFFFFFFF"/>
      <name val="Arial"/>
      <family val="2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3F3F46"/>
      </patternFill>
    </fill>
    <fill>
      <patternFill patternType="solid">
        <fgColor rgb="FF3FA340"/>
      </patternFill>
    </fill>
    <fill>
      <patternFill patternType="solid">
        <fgColor rgb="FF2E7D32"/>
      </patternFill>
    </fill>
    <fill>
      <patternFill patternType="solid">
        <fgColor rgb="FFE0392B"/>
      </patternFill>
    </fill>
    <fill>
      <patternFill patternType="solid">
        <fgColor rgb="FF7A5C2E"/>
      </patternFill>
    </fill>
    <fill>
      <patternFill patternType="solid">
        <fgColor rgb="FFF2A007"/>
      </patternFill>
    </fill>
    <fill>
      <patternFill patternType="solid">
        <fgColor rgb="FF4CAF50"/>
      </patternFill>
    </fill>
    <fill>
      <patternFill patternType="solid">
        <fgColor rgb="FF8BC34A"/>
      </patternFill>
    </fill>
    <fill>
      <patternFill patternType="solid">
        <fgColor rgb="FFCC5599"/>
      </patternFill>
    </fill>
    <fill>
      <patternFill patternType="solid">
        <fgColor rgb="FF5C6B7A"/>
      </patternFill>
    </fill>
    <fill>
      <patternFill patternType="solid">
        <fgColor rgb="FFA1887F"/>
      </patternFill>
    </fill>
    <fill>
      <patternFill patternType="solid">
        <fgColor rgb="FF2479C2"/>
      </patternFill>
    </fill>
    <fill>
      <patternFill patternType="solid">
        <fgColor rgb="FFD81B60"/>
      </patternFill>
    </fill>
    <fill>
      <patternFill patternType="solid">
        <fgColor rgb="FF16A6A0"/>
      </patternFill>
    </fill>
    <fill>
      <patternFill patternType="solid">
        <fgColor rgb="FF9A3DC2"/>
      </patternFill>
    </fill>
    <fill>
      <patternFill patternType="solid">
        <fgColor rgb="FF8A8A96"/>
      </patternFill>
    </fill>
    <fill>
      <patternFill patternType="solid">
        <fgColor rgb="FF3F3F4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1" xfId="0" applyFont="1" applyBorder="1"/>
    <xf numFmtId="3" fontId="2" fillId="0" borderId="1" xfId="0" applyNumberFormat="1" applyFont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3" fillId="7" borderId="1" xfId="0" applyFont="1" applyFill="1" applyBorder="1"/>
    <xf numFmtId="0" fontId="1" fillId="8" borderId="1" xfId="0" applyFont="1" applyFill="1" applyBorder="1"/>
    <xf numFmtId="0" fontId="3" fillId="9" borderId="1" xfId="0" applyFont="1" applyFill="1" applyBorder="1"/>
    <xf numFmtId="0" fontId="1" fillId="10" borderId="1" xfId="0" applyFont="1" applyFill="1" applyBorder="1"/>
    <xf numFmtId="0" fontId="1" fillId="11" borderId="1" xfId="0" applyFont="1" applyFill="1" applyBorder="1"/>
    <xf numFmtId="0" fontId="1" fillId="12" borderId="1" xfId="0" applyFont="1" applyFill="1" applyBorder="1"/>
    <xf numFmtId="0" fontId="1" fillId="13" borderId="1" xfId="0" applyFont="1" applyFill="1" applyBorder="1"/>
    <xf numFmtId="0" fontId="1" fillId="14" borderId="1" xfId="0" applyFont="1" applyFill="1" applyBorder="1"/>
    <xf numFmtId="0" fontId="1" fillId="15" borderId="1" xfId="0" applyFont="1" applyFill="1" applyBorder="1"/>
    <xf numFmtId="0" fontId="1" fillId="16" borderId="1" xfId="0" applyFont="1" applyFill="1" applyBorder="1"/>
    <xf numFmtId="0" fontId="1" fillId="17" borderId="1" xfId="0" applyFont="1" applyFill="1" applyBorder="1"/>
    <xf numFmtId="0" fontId="4" fillId="0" borderId="0" xfId="0" applyFont="1"/>
    <xf numFmtId="3" fontId="4" fillId="0" borderId="0" xfId="0" applyNumberFormat="1" applyFont="1"/>
    <xf numFmtId="0" fontId="1" fillId="2" borderId="0" xfId="0" applyFont="1" applyFill="1"/>
    <xf numFmtId="0" fontId="2" fillId="0" borderId="0" xfId="0" applyFont="1"/>
    <xf numFmtId="3" fontId="2" fillId="0" borderId="0" xfId="0" applyNumberFormat="1" applyFont="1"/>
    <xf numFmtId="0" fontId="1" fillId="3" borderId="0" xfId="0" applyFont="1" applyFill="1"/>
    <xf numFmtId="0" fontId="3" fillId="7" borderId="0" xfId="0" applyFont="1" applyFill="1"/>
    <xf numFmtId="0" fontId="1" fillId="13" borderId="0" xfId="0" applyFont="1" applyFill="1"/>
    <xf numFmtId="0" fontId="1" fillId="16" borderId="0" xfId="0" applyFont="1" applyFill="1"/>
    <xf numFmtId="0" fontId="1" fillId="5" borderId="0" xfId="0" applyFont="1" applyFill="1"/>
    <xf numFmtId="0" fontId="1" fillId="10" borderId="0" xfId="0" applyFont="1" applyFill="1"/>
    <xf numFmtId="0" fontId="1" fillId="6" borderId="0" xfId="0" applyFont="1" applyFill="1"/>
    <xf numFmtId="0" fontId="1" fillId="15" borderId="0" xfId="0" applyFont="1" applyFill="1"/>
    <xf numFmtId="0" fontId="1" fillId="17" borderId="0" xfId="0" applyFont="1" applyFill="1"/>
    <xf numFmtId="0" fontId="1" fillId="4" borderId="0" xfId="0" applyFont="1" applyFill="1"/>
    <xf numFmtId="0" fontId="1" fillId="8" borderId="0" xfId="0" applyFont="1" applyFill="1"/>
    <xf numFmtId="0" fontId="3" fillId="9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4" borderId="0" xfId="0" applyFont="1" applyFill="1"/>
    <xf numFmtId="0" fontId="2" fillId="0" borderId="0" xfId="0" applyFont="1" applyAlignment="1">
      <alignment vertical="top" wrapText="1"/>
    </xf>
    <xf numFmtId="0" fontId="2" fillId="0" borderId="1" xfId="0" applyFont="1" applyFill="1" applyBorder="1"/>
    <xf numFmtId="0" fontId="5" fillId="18" borderId="0" xfId="0" applyFont="1" applyFill="1" applyAlignment="1">
      <alignment vertical="center" wrapText="1"/>
    </xf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applyNumberFormat="1"/>
    <xf numFmtId="0" fontId="0" fillId="0" borderId="0" xfId="0" pivotButton="1" applyAlignment="1">
      <alignment wrapText="1"/>
    </xf>
    <xf numFmtId="0" fontId="0" fillId="0" borderId="0" xfId="0" applyAlignment="1">
      <alignment wrapText="1"/>
    </xf>
    <xf numFmtId="0" fontId="5" fillId="13" borderId="1" xfId="0" applyFont="1" applyFill="1" applyBorder="1"/>
    <xf numFmtId="0" fontId="5" fillId="12" borderId="1" xfId="0" applyFont="1" applyFill="1" applyBorder="1"/>
  </cellXfs>
  <cellStyles count="1">
    <cellStyle name="Normal" xfId="0" builtinId="0"/>
  </cellStyles>
  <dxfs count="53">
    <dxf>
      <alignment wrapText="1"/>
    </dxf>
    <dxf>
      <alignment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8A8A96"/>
        </patternFill>
      </fill>
      <border diagonalUp="0" diagonalDown="0">
        <left/>
        <right/>
        <top/>
        <bottom style="thin">
          <color rgb="FFD0D0D0"/>
        </bottom>
        <vertical/>
        <horizontal/>
      </border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3F3F46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/>
        <bottom style="thin">
          <color rgb="FFD0D0D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8A8A96"/>
        </patternFill>
      </fill>
      <border diagonalUp="0" diagonalDown="0">
        <left/>
        <right/>
        <top/>
        <bottom style="thin">
          <color rgb="FFD0D0D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8A8A96"/>
        </patternFill>
      </fill>
      <border diagonalUp="0" diagonalDown="0">
        <left/>
        <right/>
        <top/>
        <bottom style="thin">
          <color rgb="FFD0D0D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2479C2"/>
        </patternFill>
      </fill>
      <border diagonalUp="0" diagonalDown="0">
        <left/>
        <right/>
        <top/>
        <bottom style="thin">
          <color rgb="FFD0D0D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/>
        <right/>
        <top/>
        <bottom style="thin">
          <color rgb="FFD0D0D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/>
        <right/>
        <top/>
        <bottom style="thin">
          <color rgb="FFD0D0D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/>
        <right/>
        <top/>
        <bottom style="thin">
          <color rgb="FFD0D0D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/>
        <right/>
        <top/>
        <bottom style="thin">
          <color rgb="FFD0D0D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/>
        <right/>
        <top/>
        <bottom style="thin">
          <color rgb="FFD0D0D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/>
        <bottom style="thin">
          <color rgb="FFD0D0D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/>
        <top/>
        <bottom style="thin">
          <color rgb="FFD0D0D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ys Semeniuk" refreshedDate="46236.523154513889" createdVersion="8" refreshedVersion="8" minRefreshableVersion="3" recordCount="36" xr:uid="{906A8063-30A3-49FD-BF31-B966862C43E3}">
  <cacheSource type="worksheet">
    <worksheetSource name="Tabell1"/>
  </cacheSource>
  <cacheFields count="12">
    <cacheField name="Група SSB" numFmtId="0">
      <sharedItems/>
    </cacheField>
    <cacheField name="Верхній рівень SSB" numFmtId="0">
      <sharedItems/>
    </cacheField>
    <cacheField name="Кодів" numFmtId="3">
      <sharedItems containsSemiMixedTypes="0" containsString="0" containsNumber="1" containsInteger="1" minValue="1" maxValue="7"/>
    </cacheField>
    <cacheField name="Усього" numFmtId="3">
      <sharedItems containsSemiMixedTypes="0" containsString="0" containsNumber="1" containsInteger="1" minValue="0" maxValue="71763"/>
    </cacheField>
    <cacheField name="Досяжних" numFmtId="3">
      <sharedItems containsSemiMixedTypes="0" containsString="0" containsNumber="1" containsInteger="1" minValue="0" maxValue="68614"/>
    </cacheField>
    <cacheField name="Є в комунах (з 27)" numFmtId="3">
      <sharedItems containsSemiMixedTypes="0" containsString="0" containsNumber="1" containsInteger="1" minValue="0" maxValue="27"/>
    </cacheField>
    <cacheField name="≥5 у комунах" numFmtId="3">
      <sharedItems containsSemiMixedTypes="0" containsString="0" containsNumber="1" containsInteger="1" minValue="0" maxValue="27"/>
    </cacheField>
    <cacheField name="НАШІ 6 зараз" numFmtId="0">
      <sharedItems/>
    </cacheField>
    <cacheField name="Схема 8" numFmtId="0">
      <sharedItems/>
    </cacheField>
    <cacheField name="Схема 12" numFmtId="0">
      <sharedItems/>
    </cacheField>
    <cacheField name="Semden 12" numFmtId="0">
      <sharedItems containsBlank="1" count="14">
        <s v="Andre"/>
        <s v="Bolig"/>
        <s v="Garasje/uthus"/>
        <s v="Hytte"/>
        <s v="Rekkehus/småhus"/>
        <s v="Samfunn/kultur"/>
        <s v="Helsebygning"/>
        <s v="Handel/service"/>
        <s v="Driftsbygg"/>
        <s v="Lager"/>
        <s v="Handel/kontor"/>
        <s v="Sakral"/>
        <s v="Lager ?" u="1"/>
        <m u="1"/>
      </sharedItems>
    </cacheField>
    <cacheField name="Коди bygningstyp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s v="(без групи)"/>
    <s v="(немає)"/>
    <n v="3"/>
    <n v="454"/>
    <n v="410"/>
    <n v="26"/>
    <n v="16"/>
    <s v="other"/>
    <s v="Andre"/>
    <s v="Andre"/>
    <x v="0"/>
    <s v="956, 970, 999"/>
  </r>
  <r>
    <s v="Enebolig"/>
    <s v="Bolig"/>
    <n v="3"/>
    <n v="71291"/>
    <n v="68614"/>
    <n v="27"/>
    <n v="27"/>
    <s v="housing"/>
    <s v="Bolig"/>
    <s v="Enebolig"/>
    <x v="1"/>
    <s v="111, 112, 113"/>
  </r>
  <r>
    <s v="Garasje og uthus til bolig"/>
    <s v="Bolig"/>
    <n v="3"/>
    <n v="71763"/>
    <n v="58700"/>
    <n v="27"/>
    <n v="27"/>
    <s v="outbuilding"/>
    <s v="Garasje/uthus"/>
    <s v="Garasje/uthus"/>
    <x v="2"/>
    <s v="181, 182, 183"/>
  </r>
  <r>
    <s v="Fritidsbolig"/>
    <s v="Bolig"/>
    <n v="3"/>
    <n v="19351"/>
    <n v="13003"/>
    <n v="27"/>
    <n v="27"/>
    <s v="hytte"/>
    <s v="Hytte"/>
    <s v="Hytte"/>
    <x v="3"/>
    <s v="161, 162, 163"/>
  </r>
  <r>
    <s v="Tomannsbolig"/>
    <s v="Bolig"/>
    <n v="4"/>
    <n v="10441"/>
    <n v="10271"/>
    <n v="27"/>
    <n v="27"/>
    <s v="housing"/>
    <s v="Bolig"/>
    <s v="Tomannsbolig"/>
    <x v="1"/>
    <s v="121, 122, 123, 124"/>
  </r>
  <r>
    <s v="Rekkehus, kjedehus, andre småhus"/>
    <s v="Bolig"/>
    <n v="4"/>
    <n v="7328"/>
    <n v="7283"/>
    <n v="27"/>
    <n v="27"/>
    <s v="housing"/>
    <s v="Bolig"/>
    <s v="Rekkehus/småhus"/>
    <x v="4"/>
    <s v="131, 133, 135, 136"/>
  </r>
  <r>
    <s v="Store boligbygg"/>
    <s v="Bolig"/>
    <n v="6"/>
    <n v="1278"/>
    <n v="1273"/>
    <n v="26"/>
    <n v="21"/>
    <s v="housing"/>
    <s v="Bolig"/>
    <s v="Rekkehus/småhus"/>
    <x v="1"/>
    <s v="141, 142, 143, 144, 145, 146"/>
  </r>
  <r>
    <s v="Koie, seterhus og lignende"/>
    <s v="Bolig"/>
    <n v="2"/>
    <n v="2240"/>
    <n v="1158"/>
    <n v="25"/>
    <n v="22"/>
    <s v="hytte"/>
    <s v="Hytte"/>
    <s v="Hytte"/>
    <x v="3"/>
    <s v="171, 172"/>
  </r>
  <r>
    <s v="Annen boligbygning"/>
    <s v="Bolig"/>
    <n v="2"/>
    <n v="469"/>
    <n v="415"/>
    <n v="25"/>
    <n v="20"/>
    <s v="housing"/>
    <s v="Bolig"/>
    <s v="Rekkehus/småhus"/>
    <x v="1"/>
    <s v="193, 199"/>
  </r>
  <r>
    <s v="Bygning for bofellesskap"/>
    <s v="Bolig"/>
    <n v="3"/>
    <n v="294"/>
    <n v="291"/>
    <n v="27"/>
    <n v="19"/>
    <s v="housing"/>
    <s v="Bolig"/>
    <s v="Rekkehus/småhus"/>
    <x v="1"/>
    <s v="151, 152, 159"/>
  </r>
  <r>
    <s v="Beredskapsbygning"/>
    <s v="Fengsel, beredskapsbygning mv."/>
    <n v="6"/>
    <n v="90"/>
    <n v="87"/>
    <n v="27"/>
    <n v="6"/>
    <s v="public"/>
    <s v="Samfunn/kultur"/>
    <s v="Samfunn/skole"/>
    <x v="5"/>
    <s v="821, 822, 823, 824, 825, 829"/>
  </r>
  <r>
    <s v="Offentlig toalett"/>
    <s v="Fengsel, beredskapsbygning mv."/>
    <n v="1"/>
    <n v="67"/>
    <n v="61"/>
    <n v="20"/>
    <n v="4"/>
    <s v="public"/>
    <s v="Andre"/>
    <s v="Andre"/>
    <x v="0"/>
    <s v="840"/>
  </r>
  <r>
    <s v="Monument"/>
    <s v="Fengsel, beredskapsbygning mv."/>
    <n v="1"/>
    <n v="1"/>
    <n v="1"/>
    <n v="1"/>
    <n v="0"/>
    <s v="public"/>
    <s v="Andre"/>
    <s v="Andre"/>
    <x v="0"/>
    <s v="830"/>
  </r>
  <r>
    <s v="Fengselsbygning"/>
    <s v="Fengsel, beredskapsbygning mv."/>
    <n v="1"/>
    <n v="0"/>
    <n v="0"/>
    <n v="0"/>
    <n v="0"/>
    <s v="public"/>
    <s v="Andre"/>
    <s v="Andre"/>
    <x v="0"/>
    <s v="819"/>
  </r>
  <r>
    <s v="Sykehjem"/>
    <s v="Helsebygning"/>
    <n v="4"/>
    <n v="157"/>
    <n v="157"/>
    <n v="27"/>
    <n v="15"/>
    <s v="public"/>
    <s v="Samfunn/kultur"/>
    <s v="Samfunn/skole"/>
    <x v="6"/>
    <s v="721, 722, 723, 729"/>
  </r>
  <r>
    <s v="Primærhelsebygning"/>
    <s v="Helsebygning"/>
    <n v="3"/>
    <n v="82"/>
    <n v="81"/>
    <n v="22"/>
    <n v="4"/>
    <s v="public"/>
    <s v="Samfunn/kultur"/>
    <s v="Samfunn/skole"/>
    <x v="6"/>
    <s v="731, 732, 739"/>
  </r>
  <r>
    <s v="Sykehus"/>
    <s v="Helsebygning"/>
    <n v="1"/>
    <n v="11"/>
    <n v="11"/>
    <n v="4"/>
    <n v="0"/>
    <s v="public"/>
    <s v="Samfunn/kultur"/>
    <s v="Samfunn/skole"/>
    <x v="6"/>
    <s v="719"/>
  </r>
  <r>
    <s v="Bygning for overnatting"/>
    <s v="Hotell-  og restaurantbygning"/>
    <n v="5"/>
    <n v="1618"/>
    <n v="1472"/>
    <n v="26"/>
    <n v="26"/>
    <s v="public"/>
    <s v="Handel/service"/>
    <s v="Servering"/>
    <x v="7"/>
    <s v="521, 522, 523, 524, 529"/>
  </r>
  <r>
    <s v="Restaurantbygning"/>
    <s v="Hotell-  og restaurantbygning"/>
    <n v="4"/>
    <n v="293"/>
    <n v="278"/>
    <n v="27"/>
    <n v="20"/>
    <s v="public"/>
    <s v="Handel/service"/>
    <s v="Servering"/>
    <x v="7"/>
    <s v="531, 532, 533, 539"/>
  </r>
  <r>
    <s v="Hotellbygning"/>
    <s v="Hotell-  og restaurantbygning"/>
    <n v="3"/>
    <n v="108"/>
    <n v="104"/>
    <n v="26"/>
    <n v="7"/>
    <s v="public"/>
    <s v="Handel/service"/>
    <s v="Servering"/>
    <x v="7"/>
    <s v="511, 512, 519"/>
  </r>
  <r>
    <s v="Fiskeri- og landbruksbygning"/>
    <s v="Industri og lagerbygning"/>
    <n v="6"/>
    <n v="28570"/>
    <n v="22778"/>
    <n v="27"/>
    <n v="27"/>
    <s v="outbuilding"/>
    <s v="Driftsbygg"/>
    <s v="Landbruk/fiske"/>
    <x v="8"/>
    <s v="241, 243, 244, 245, 248, 249"/>
  </r>
  <r>
    <s v="Industribygning"/>
    <s v="Industri og lagerbygning"/>
    <n v="5"/>
    <n v="2928"/>
    <n v="2554"/>
    <n v="27"/>
    <n v="27"/>
    <s v="other"/>
    <s v="Driftsbygg"/>
    <s v="Industri"/>
    <x v="8"/>
    <s v="211, 212, 214, 216, 219"/>
  </r>
  <r>
    <s v="Lagerbygning"/>
    <s v="Industri og lagerbygning"/>
    <n v="4"/>
    <n v="2487"/>
    <n v="2086"/>
    <n v="27"/>
    <n v="27"/>
    <s v="outbuilding"/>
    <s v="Driftsbygg"/>
    <s v="Lager"/>
    <x v="9"/>
    <s v="231, 232, 233, 239"/>
  </r>
  <r>
    <s v="Energiforsyningsbygning"/>
    <s v="Industri og lagerbygning"/>
    <n v="3"/>
    <n v="0"/>
    <n v="0"/>
    <n v="0"/>
    <n v="0"/>
    <s v="other"/>
    <s v="Driftsbygg"/>
    <s v="Industri"/>
    <x v="8"/>
    <s v="221, 223, 229"/>
  </r>
  <r>
    <s v="Forretningsbygning"/>
    <s v="Kontor- og forretningsbygning"/>
    <n v="5"/>
    <n v="1433"/>
    <n v="1419"/>
    <n v="27"/>
    <n v="27"/>
    <s v="public"/>
    <s v="Handel/service"/>
    <s v="Handel/kontor"/>
    <x v="10"/>
    <s v="321, 322, 323, 329, 330"/>
  </r>
  <r>
    <s v="Kontorbygning"/>
    <s v="Kontor- og forretningsbygning"/>
    <n v="4"/>
    <n v="727"/>
    <n v="691"/>
    <n v="27"/>
    <n v="26"/>
    <s v="public"/>
    <s v="Handel/service"/>
    <s v="Handel/kontor"/>
    <x v="10"/>
    <s v="311, 312, 313, 319"/>
  </r>
  <r>
    <s v="Skolebygning"/>
    <s v="Kultur- og forskningsbygning"/>
    <n v="7"/>
    <n v="947"/>
    <n v="885"/>
    <n v="27"/>
    <n v="27"/>
    <s v="public"/>
    <s v="Samfunn/kultur"/>
    <s v="Samfunn/skole"/>
    <x v="5"/>
    <s v="611, 612, 613, 614, 615, 616, 619"/>
  </r>
  <r>
    <s v="Bygning for religiøse aktiviteter"/>
    <s v="Kultur- og forskningsbygning"/>
    <n v="6"/>
    <n v="541"/>
    <n v="525"/>
    <n v="27"/>
    <n v="27"/>
    <s v="sacral"/>
    <s v="Sakral"/>
    <s v="Sakral"/>
    <x v="11"/>
    <s v="671, 672, 673, 674, 675, 679"/>
  </r>
  <r>
    <s v="Idrettsbygning"/>
    <s v="Kultur- og forskningsbygning"/>
    <n v="6"/>
    <n v="576"/>
    <n v="507"/>
    <n v="27"/>
    <n v="25"/>
    <s v="public"/>
    <s v="Samfunn/kultur"/>
    <s v="Samfunn/skole"/>
    <x v="5"/>
    <s v="651, 652, 653, 654, 655, 659"/>
  </r>
  <r>
    <s v="Kulturhus"/>
    <s v="Kultur- og forskningsbygning"/>
    <n v="4"/>
    <n v="518"/>
    <n v="494"/>
    <n v="27"/>
    <n v="25"/>
    <s v="public"/>
    <s v="Samfunn/kultur"/>
    <s v="Samfunn/skole"/>
    <x v="5"/>
    <s v="661, 662, 663, 669"/>
  </r>
  <r>
    <s v="Museums- og biblioteksbygning"/>
    <s v="Kultur- og forskningsbygning"/>
    <n v="4"/>
    <n v="308"/>
    <n v="274"/>
    <n v="27"/>
    <n v="13"/>
    <s v="public"/>
    <s v="Samfunn/kultur"/>
    <s v="Samfunn/skole"/>
    <x v="5"/>
    <s v="641, 642, 643, 649"/>
  </r>
  <r>
    <s v="Universitet- og høgskolebygning"/>
    <s v="Kultur- og forskningsbygning"/>
    <n v="3"/>
    <n v="43"/>
    <n v="35"/>
    <n v="9"/>
    <n v="2"/>
    <s v="public"/>
    <s v="Samfunn/kultur"/>
    <s v="Samfunn/skole"/>
    <x v="5"/>
    <s v="621, 623, 629"/>
  </r>
  <r>
    <s v="Garasje- og hangarbygning"/>
    <s v="Samferdsels- og kommunikasjonsbygning"/>
    <n v="2"/>
    <n v="182"/>
    <n v="169"/>
    <n v="25"/>
    <n v="7"/>
    <s v="outbuilding"/>
    <s v="Driftsbygg"/>
    <s v="Lager"/>
    <x v="2"/>
    <s v="431, 439"/>
  </r>
  <r>
    <s v="Ekspedisjonsbygning, terminal"/>
    <s v="Samferdsels- og kommunikasjonsbygning"/>
    <n v="5"/>
    <n v="116"/>
    <n v="105"/>
    <n v="21"/>
    <n v="6"/>
    <s v="public"/>
    <s v="Andre"/>
    <s v="Andre"/>
    <x v="0"/>
    <s v="411, 412, 415, 416, 419"/>
  </r>
  <r>
    <s v="Veg- og trafikktilsynsbygning"/>
    <s v="Samferdsels- og kommunikasjonsbygning"/>
    <n v="2"/>
    <n v="65"/>
    <n v="62"/>
    <n v="20"/>
    <n v="3"/>
    <s v="outbuilding"/>
    <s v="Andre"/>
    <s v="Andre"/>
    <x v="0"/>
    <s v="441, 449"/>
  </r>
  <r>
    <s v="Telekommunikasjonsbygning"/>
    <s v="Samferdsels- og kommunikasjonsbygning"/>
    <n v="1"/>
    <n v="0"/>
    <n v="0"/>
    <n v="0"/>
    <n v="0"/>
    <s v="public"/>
    <s v="Andre"/>
    <s v="Andre"/>
    <x v="0"/>
    <s v="4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2C661E-209F-491A-8EB0-CB3084997049}" name="Pivottabell1" cacheId="28" applyNumberFormats="0" applyBorderFormats="0" applyFontFormats="0" applyPatternFormats="0" applyAlignmentFormats="0" applyWidthHeightFormats="1" dataCaption="Verdier" updatedVersion="8" minRefreshableVersion="3" useAutoFormatting="1" itemPrintTitles="1" createdVersion="8" indent="0" outline="1" outlineData="1" multipleFieldFilters="0" fieldListSortAscending="1">
  <location ref="N2:Q15" firstHeaderRow="0" firstDataRow="1" firstDataCol="1"/>
  <pivotFields count="12">
    <pivotField showAll="0"/>
    <pivotField showAll="0"/>
    <pivotField numFmtId="3" showAll="0"/>
    <pivotField numFmtId="3" showAll="0"/>
    <pivotField dataField="1" numFmtId="3" showAll="0"/>
    <pivotField dataField="1" showAll="0"/>
    <pivotField dataField="1" showAll="0"/>
    <pivotField showAll="0"/>
    <pivotField showAll="0"/>
    <pivotField showAll="0"/>
    <pivotField axis="axisRow" showAll="0">
      <items count="15">
        <item x="0"/>
        <item x="1"/>
        <item x="8"/>
        <item x="2"/>
        <item x="6"/>
        <item x="3"/>
        <item x="5"/>
        <item m="1" x="13"/>
        <item x="7"/>
        <item m="1" x="12"/>
        <item x="10"/>
        <item x="11"/>
        <item x="4"/>
        <item x="9"/>
        <item t="default"/>
      </items>
    </pivotField>
    <pivotField showAll="0"/>
  </pivotFields>
  <rowFields count="1">
    <field x="1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10"/>
    </i>
    <i>
      <x v="11"/>
    </i>
    <i>
      <x v="12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mer av Досяжних" fld="4" baseField="0" baseItem="0" numFmtId="3"/>
    <dataField name="Summer av Є в комунах (з 27)" fld="5" baseField="0" baseItem="0"/>
    <dataField name="Summer av ≥5 у комунах" fld="6" baseField="0" baseItem="0"/>
  </dataFields>
  <formats count="2">
    <format dxfId="39">
      <pivotArea field="10" type="button" dataOnly="0" labelOnly="1" outline="0" axis="axisRow" fieldPosition="0"/>
    </format>
    <format dxfId="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5E7222-3B49-4436-9997-1F2333958327}" name="Tabell1" displayName="Tabell1" ref="A1:L37" totalsRowShown="0" headerRowDxfId="41">
  <autoFilter ref="A1:L37" xr:uid="{B55E7222-3B49-4436-9997-1F2333958327}"/>
  <sortState xmlns:xlrd2="http://schemas.microsoft.com/office/spreadsheetml/2017/richdata2" ref="A2:L38">
    <sortCondition ref="B1:B38"/>
  </sortState>
  <tableColumns count="12">
    <tableColumn id="1" xr3:uid="{D840456A-7CDD-4960-953F-17ADE7EF991F}" name="Група SSB" dataDxfId="52"/>
    <tableColumn id="2" xr3:uid="{7E692EF5-7451-469B-A830-6FC0320B804C}" name="Верхній рівень SSB" dataDxfId="51"/>
    <tableColumn id="3" xr3:uid="{A33292B1-CBBA-4C36-B14A-400B2088342B}" name="Кодів" dataDxfId="50"/>
    <tableColumn id="4" xr3:uid="{69D80CB1-AC01-4A0E-BDB2-0193E5281362}" name="Усього" dataDxfId="49"/>
    <tableColumn id="5" xr3:uid="{E0CF4213-D47C-4B9E-80CF-084FA21D46AA}" name="Досяжних" dataDxfId="48"/>
    <tableColumn id="6" xr3:uid="{0D0ED8CB-E0E8-43C4-9EA3-AAFDAE69330E}" name="Є в комунах (з 27)" dataDxfId="47"/>
    <tableColumn id="7" xr3:uid="{33081446-09C8-433A-BF07-BC5A626AB635}" name="≥5 у комунах" dataDxfId="46"/>
    <tableColumn id="8" xr3:uid="{3DBD18F1-8D55-451B-AF5A-97CB700CB622}" name="НАШІ 6 зараз" dataDxfId="45"/>
    <tableColumn id="9" xr3:uid="{0243E622-4443-4F40-AF3E-36A7EA349324}" name="Схема 8" dataDxfId="44"/>
    <tableColumn id="10" xr3:uid="{2582A7FF-C30F-43AE-AA23-BBFEE4C8E25D}" name="Схема 12" dataDxfId="43"/>
    <tableColumn id="13" xr3:uid="{18044F78-445F-4548-91DA-48FF7520EDF3}" name="Semden 12" dataDxfId="2"/>
    <tableColumn id="11" xr3:uid="{CEB33533-312E-4710-BE82-CE14BE79A171}" name="Коди bygningstype" dataDxfId="4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8"/>
  <sheetViews>
    <sheetView tabSelected="1" workbookViewId="0">
      <pane ySplit="1" topLeftCell="A2" activePane="bottomLeft" state="frozen"/>
      <selection pane="bottomLeft" activeCell="N2" sqref="N2"/>
    </sheetView>
  </sheetViews>
  <sheetFormatPr baseColWidth="10" defaultColWidth="9.140625" defaultRowHeight="15" x14ac:dyDescent="0.25"/>
  <cols>
    <col min="1" max="1" width="31.140625" bestFit="1" customWidth="1"/>
    <col min="2" max="2" width="36" bestFit="1" customWidth="1"/>
    <col min="3" max="3" width="6.140625" hidden="1" customWidth="1"/>
    <col min="4" max="4" width="7.5703125" customWidth="1"/>
    <col min="5" max="5" width="9.5703125" customWidth="1"/>
    <col min="6" max="6" width="10.7109375" customWidth="1"/>
    <col min="7" max="7" width="10" bestFit="1" customWidth="1"/>
    <col min="8" max="8" width="15.5703125" customWidth="1"/>
    <col min="9" max="9" width="17" customWidth="1"/>
    <col min="10" max="11" width="18" customWidth="1"/>
    <col min="12" max="12" width="60" customWidth="1"/>
    <col min="14" max="14" width="17.28515625" bestFit="1" customWidth="1"/>
    <col min="15" max="15" width="10.85546875" bestFit="1" customWidth="1"/>
    <col min="16" max="16" width="12.42578125" bestFit="1" customWidth="1"/>
    <col min="17" max="17" width="14.7109375" customWidth="1"/>
    <col min="18" max="22" width="3" bestFit="1" customWidth="1"/>
    <col min="23" max="36" width="4" bestFit="1" customWidth="1"/>
    <col min="37" max="43" width="5.42578125" bestFit="1" customWidth="1"/>
    <col min="44" max="48" width="6.42578125" bestFit="1" customWidth="1"/>
    <col min="49" max="49" width="7.42578125" bestFit="1" customWidth="1"/>
  </cols>
  <sheetData>
    <row r="1" spans="1:17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1" t="s">
        <v>152</v>
      </c>
      <c r="L1" s="1" t="s">
        <v>10</v>
      </c>
    </row>
    <row r="2" spans="1:17" ht="45" x14ac:dyDescent="0.25">
      <c r="A2" s="40" t="s">
        <v>71</v>
      </c>
      <c r="B2" s="2" t="s">
        <v>72</v>
      </c>
      <c r="C2" s="3">
        <v>3</v>
      </c>
      <c r="D2" s="3">
        <v>454</v>
      </c>
      <c r="E2" s="3">
        <v>410</v>
      </c>
      <c r="F2" s="3">
        <v>26</v>
      </c>
      <c r="G2" s="3">
        <v>16</v>
      </c>
      <c r="H2" s="11" t="s">
        <v>34</v>
      </c>
      <c r="I2" s="18" t="s">
        <v>73</v>
      </c>
      <c r="J2" s="18" t="s">
        <v>73</v>
      </c>
      <c r="K2" s="18" t="s">
        <v>73</v>
      </c>
      <c r="L2" s="2" t="s">
        <v>74</v>
      </c>
      <c r="N2" s="45" t="s">
        <v>153</v>
      </c>
      <c r="O2" s="46" t="s">
        <v>155</v>
      </c>
      <c r="P2" s="46" t="s">
        <v>156</v>
      </c>
      <c r="Q2" s="46" t="s">
        <v>157</v>
      </c>
    </row>
    <row r="3" spans="1:17" x14ac:dyDescent="0.25">
      <c r="A3" s="40" t="s">
        <v>11</v>
      </c>
      <c r="B3" s="2" t="s">
        <v>12</v>
      </c>
      <c r="C3" s="3">
        <v>3</v>
      </c>
      <c r="D3" s="3">
        <v>71291</v>
      </c>
      <c r="E3" s="3">
        <v>68614</v>
      </c>
      <c r="F3" s="3">
        <v>27</v>
      </c>
      <c r="G3" s="3">
        <v>27</v>
      </c>
      <c r="H3" s="4" t="s">
        <v>13</v>
      </c>
      <c r="I3" s="4" t="s">
        <v>12</v>
      </c>
      <c r="J3" s="5" t="s">
        <v>11</v>
      </c>
      <c r="K3" s="9" t="s">
        <v>12</v>
      </c>
      <c r="L3" s="2" t="s">
        <v>14</v>
      </c>
      <c r="N3" s="42" t="s">
        <v>73</v>
      </c>
      <c r="O3" s="43">
        <v>639</v>
      </c>
      <c r="P3" s="44">
        <v>88</v>
      </c>
      <c r="Q3" s="44">
        <v>29</v>
      </c>
    </row>
    <row r="4" spans="1:17" x14ac:dyDescent="0.25">
      <c r="A4" s="40" t="s">
        <v>15</v>
      </c>
      <c r="B4" s="2" t="s">
        <v>12</v>
      </c>
      <c r="C4" s="3">
        <v>3</v>
      </c>
      <c r="D4" s="3">
        <v>71763</v>
      </c>
      <c r="E4" s="3">
        <v>58700</v>
      </c>
      <c r="F4" s="3">
        <v>27</v>
      </c>
      <c r="G4" s="3">
        <v>27</v>
      </c>
      <c r="H4" s="6" t="s">
        <v>16</v>
      </c>
      <c r="I4" s="6" t="s">
        <v>17</v>
      </c>
      <c r="J4" s="6" t="s">
        <v>17</v>
      </c>
      <c r="K4" s="6" t="s">
        <v>17</v>
      </c>
      <c r="L4" s="2" t="s">
        <v>18</v>
      </c>
      <c r="N4" s="42" t="s">
        <v>12</v>
      </c>
      <c r="O4" s="43">
        <v>80864</v>
      </c>
      <c r="P4" s="44">
        <v>132</v>
      </c>
      <c r="Q4" s="44">
        <v>114</v>
      </c>
    </row>
    <row r="5" spans="1:17" x14ac:dyDescent="0.25">
      <c r="A5" s="40" t="s">
        <v>24</v>
      </c>
      <c r="B5" s="2" t="s">
        <v>12</v>
      </c>
      <c r="C5" s="3">
        <v>3</v>
      </c>
      <c r="D5" s="3">
        <v>19351</v>
      </c>
      <c r="E5" s="3">
        <v>13003</v>
      </c>
      <c r="F5" s="3">
        <v>27</v>
      </c>
      <c r="G5" s="3">
        <v>27</v>
      </c>
      <c r="H5" s="8" t="s">
        <v>25</v>
      </c>
      <c r="I5" s="8" t="s">
        <v>26</v>
      </c>
      <c r="J5" s="8" t="s">
        <v>26</v>
      </c>
      <c r="K5" s="8" t="s">
        <v>26</v>
      </c>
      <c r="L5" s="2" t="s">
        <v>27</v>
      </c>
      <c r="N5" s="42" t="s">
        <v>21</v>
      </c>
      <c r="O5" s="43">
        <v>25332</v>
      </c>
      <c r="P5" s="44">
        <v>54</v>
      </c>
      <c r="Q5" s="44">
        <v>54</v>
      </c>
    </row>
    <row r="6" spans="1:17" x14ac:dyDescent="0.25">
      <c r="A6" s="40" t="s">
        <v>28</v>
      </c>
      <c r="B6" s="2" t="s">
        <v>12</v>
      </c>
      <c r="C6" s="3">
        <v>4</v>
      </c>
      <c r="D6" s="3">
        <v>10441</v>
      </c>
      <c r="E6" s="3">
        <v>10271</v>
      </c>
      <c r="F6" s="3">
        <v>27</v>
      </c>
      <c r="G6" s="3">
        <v>27</v>
      </c>
      <c r="H6" s="4" t="s">
        <v>13</v>
      </c>
      <c r="I6" s="4" t="s">
        <v>12</v>
      </c>
      <c r="J6" s="9" t="s">
        <v>28</v>
      </c>
      <c r="K6" s="9" t="s">
        <v>12</v>
      </c>
      <c r="L6" s="2" t="s">
        <v>29</v>
      </c>
      <c r="N6" s="42" t="s">
        <v>17</v>
      </c>
      <c r="O6" s="43">
        <v>58869</v>
      </c>
      <c r="P6" s="44">
        <v>52</v>
      </c>
      <c r="Q6" s="44">
        <v>34</v>
      </c>
    </row>
    <row r="7" spans="1:17" x14ac:dyDescent="0.25">
      <c r="A7" s="40" t="s">
        <v>30</v>
      </c>
      <c r="B7" s="2" t="s">
        <v>12</v>
      </c>
      <c r="C7" s="3">
        <v>4</v>
      </c>
      <c r="D7" s="3">
        <v>7328</v>
      </c>
      <c r="E7" s="3">
        <v>7283</v>
      </c>
      <c r="F7" s="3">
        <v>27</v>
      </c>
      <c r="G7" s="3">
        <v>27</v>
      </c>
      <c r="H7" s="4" t="s">
        <v>13</v>
      </c>
      <c r="I7" s="4" t="s">
        <v>12</v>
      </c>
      <c r="J7" s="10" t="s">
        <v>31</v>
      </c>
      <c r="K7" s="10" t="s">
        <v>31</v>
      </c>
      <c r="L7" s="2" t="s">
        <v>32</v>
      </c>
      <c r="N7" s="42" t="s">
        <v>85</v>
      </c>
      <c r="O7" s="43">
        <v>249</v>
      </c>
      <c r="P7" s="44">
        <v>53</v>
      </c>
      <c r="Q7" s="44">
        <v>19</v>
      </c>
    </row>
    <row r="8" spans="1:17" x14ac:dyDescent="0.25">
      <c r="A8" s="40" t="s">
        <v>50</v>
      </c>
      <c r="B8" s="2" t="s">
        <v>12</v>
      </c>
      <c r="C8" s="3">
        <v>6</v>
      </c>
      <c r="D8" s="3">
        <v>1278</v>
      </c>
      <c r="E8" s="3">
        <v>1273</v>
      </c>
      <c r="F8" s="3">
        <v>26</v>
      </c>
      <c r="G8" s="3">
        <v>21</v>
      </c>
      <c r="H8" s="4" t="s">
        <v>13</v>
      </c>
      <c r="I8" s="4" t="s">
        <v>12</v>
      </c>
      <c r="J8" s="10" t="s">
        <v>31</v>
      </c>
      <c r="K8" s="9" t="s">
        <v>12</v>
      </c>
      <c r="L8" s="2" t="s">
        <v>51</v>
      </c>
      <c r="N8" s="42" t="s">
        <v>26</v>
      </c>
      <c r="O8" s="43">
        <v>14161</v>
      </c>
      <c r="P8" s="44">
        <v>52</v>
      </c>
      <c r="Q8" s="44">
        <v>49</v>
      </c>
    </row>
    <row r="9" spans="1:17" x14ac:dyDescent="0.25">
      <c r="A9" s="2" t="s">
        <v>52</v>
      </c>
      <c r="B9" s="2" t="s">
        <v>12</v>
      </c>
      <c r="C9" s="3">
        <v>2</v>
      </c>
      <c r="D9" s="3">
        <v>2240</v>
      </c>
      <c r="E9" s="3">
        <v>1158</v>
      </c>
      <c r="F9" s="3">
        <v>25</v>
      </c>
      <c r="G9" s="3">
        <v>22</v>
      </c>
      <c r="H9" s="8" t="s">
        <v>25</v>
      </c>
      <c r="I9" s="8" t="s">
        <v>26</v>
      </c>
      <c r="J9" s="8" t="s">
        <v>26</v>
      </c>
      <c r="K9" s="8" t="s">
        <v>26</v>
      </c>
      <c r="L9" s="2" t="s">
        <v>53</v>
      </c>
      <c r="N9" s="42" t="s">
        <v>56</v>
      </c>
      <c r="O9" s="43">
        <v>2282</v>
      </c>
      <c r="P9" s="44">
        <v>144</v>
      </c>
      <c r="Q9" s="44">
        <v>98</v>
      </c>
    </row>
    <row r="10" spans="1:17" x14ac:dyDescent="0.25">
      <c r="A10" s="2" t="s">
        <v>69</v>
      </c>
      <c r="B10" s="2" t="s">
        <v>12</v>
      </c>
      <c r="C10" s="3">
        <v>2</v>
      </c>
      <c r="D10" s="3">
        <v>469</v>
      </c>
      <c r="E10" s="3">
        <v>415</v>
      </c>
      <c r="F10" s="3">
        <v>25</v>
      </c>
      <c r="G10" s="3">
        <v>20</v>
      </c>
      <c r="H10" s="4" t="s">
        <v>13</v>
      </c>
      <c r="I10" s="4" t="s">
        <v>12</v>
      </c>
      <c r="J10" s="10" t="s">
        <v>31</v>
      </c>
      <c r="K10" s="9" t="s">
        <v>12</v>
      </c>
      <c r="L10" s="2" t="s">
        <v>70</v>
      </c>
      <c r="N10" s="42" t="s">
        <v>43</v>
      </c>
      <c r="O10" s="43">
        <v>1854</v>
      </c>
      <c r="P10" s="44">
        <v>79</v>
      </c>
      <c r="Q10" s="44">
        <v>53</v>
      </c>
    </row>
    <row r="11" spans="1:17" x14ac:dyDescent="0.25">
      <c r="A11" s="2" t="s">
        <v>75</v>
      </c>
      <c r="B11" s="2" t="s">
        <v>12</v>
      </c>
      <c r="C11" s="3">
        <v>3</v>
      </c>
      <c r="D11" s="3">
        <v>294</v>
      </c>
      <c r="E11" s="3">
        <v>291</v>
      </c>
      <c r="F11" s="3">
        <v>27</v>
      </c>
      <c r="G11" s="3">
        <v>19</v>
      </c>
      <c r="H11" s="4" t="s">
        <v>13</v>
      </c>
      <c r="I11" s="4" t="s">
        <v>12</v>
      </c>
      <c r="J11" s="10" t="s">
        <v>31</v>
      </c>
      <c r="K11" s="9" t="s">
        <v>12</v>
      </c>
      <c r="L11" s="2" t="s">
        <v>76</v>
      </c>
      <c r="N11" s="42" t="s">
        <v>48</v>
      </c>
      <c r="O11" s="43">
        <v>2110</v>
      </c>
      <c r="P11" s="44">
        <v>54</v>
      </c>
      <c r="Q11" s="44">
        <v>53</v>
      </c>
    </row>
    <row r="12" spans="1:17" x14ac:dyDescent="0.25">
      <c r="A12" s="2" t="s">
        <v>91</v>
      </c>
      <c r="B12" s="2" t="s">
        <v>92</v>
      </c>
      <c r="C12" s="3">
        <v>6</v>
      </c>
      <c r="D12" s="3">
        <v>90</v>
      </c>
      <c r="E12" s="3">
        <v>87</v>
      </c>
      <c r="F12" s="3">
        <v>27</v>
      </c>
      <c r="G12" s="3">
        <v>6</v>
      </c>
      <c r="H12" s="14" t="s">
        <v>42</v>
      </c>
      <c r="I12" s="16" t="s">
        <v>56</v>
      </c>
      <c r="J12" s="16" t="s">
        <v>57</v>
      </c>
      <c r="K12" s="16" t="s">
        <v>56</v>
      </c>
      <c r="L12" s="2" t="s">
        <v>93</v>
      </c>
      <c r="N12" s="42" t="s">
        <v>63</v>
      </c>
      <c r="O12" s="43">
        <v>525</v>
      </c>
      <c r="P12" s="44">
        <v>27</v>
      </c>
      <c r="Q12" s="44">
        <v>27</v>
      </c>
    </row>
    <row r="13" spans="1:17" x14ac:dyDescent="0.25">
      <c r="A13" s="2" t="s">
        <v>98</v>
      </c>
      <c r="B13" s="2" t="s">
        <v>92</v>
      </c>
      <c r="C13" s="3">
        <v>1</v>
      </c>
      <c r="D13" s="3">
        <v>67</v>
      </c>
      <c r="E13" s="3">
        <v>61</v>
      </c>
      <c r="F13" s="3">
        <v>20</v>
      </c>
      <c r="G13" s="3">
        <v>4</v>
      </c>
      <c r="H13" s="14" t="s">
        <v>42</v>
      </c>
      <c r="I13" s="18" t="s">
        <v>73</v>
      </c>
      <c r="J13" s="18" t="s">
        <v>73</v>
      </c>
      <c r="K13" s="18" t="s">
        <v>73</v>
      </c>
      <c r="L13" s="2" t="s">
        <v>99</v>
      </c>
      <c r="N13" s="42" t="s">
        <v>31</v>
      </c>
      <c r="O13" s="43">
        <v>7283</v>
      </c>
      <c r="P13" s="44">
        <v>27</v>
      </c>
      <c r="Q13" s="44">
        <v>27</v>
      </c>
    </row>
    <row r="14" spans="1:17" x14ac:dyDescent="0.25">
      <c r="A14" s="2" t="s">
        <v>104</v>
      </c>
      <c r="B14" s="2" t="s">
        <v>92</v>
      </c>
      <c r="C14" s="3">
        <v>1</v>
      </c>
      <c r="D14" s="3">
        <v>1</v>
      </c>
      <c r="E14" s="3">
        <v>1</v>
      </c>
      <c r="F14" s="3">
        <v>1</v>
      </c>
      <c r="G14" s="3">
        <v>0</v>
      </c>
      <c r="H14" s="14" t="s">
        <v>42</v>
      </c>
      <c r="I14" s="18" t="s">
        <v>73</v>
      </c>
      <c r="J14" s="18" t="s">
        <v>73</v>
      </c>
      <c r="K14" s="18" t="s">
        <v>73</v>
      </c>
      <c r="L14" s="2" t="s">
        <v>105</v>
      </c>
      <c r="N14" s="42" t="s">
        <v>38</v>
      </c>
      <c r="O14" s="43">
        <v>2086</v>
      </c>
      <c r="P14" s="44">
        <v>27</v>
      </c>
      <c r="Q14" s="44">
        <v>27</v>
      </c>
    </row>
    <row r="15" spans="1:17" x14ac:dyDescent="0.25">
      <c r="A15" s="2" t="s">
        <v>110</v>
      </c>
      <c r="B15" s="2" t="s">
        <v>92</v>
      </c>
      <c r="C15" s="3">
        <v>1</v>
      </c>
      <c r="D15" s="3">
        <v>0</v>
      </c>
      <c r="E15" s="3">
        <v>0</v>
      </c>
      <c r="F15" s="3">
        <v>0</v>
      </c>
      <c r="G15" s="3">
        <v>0</v>
      </c>
      <c r="H15" s="14" t="s">
        <v>42</v>
      </c>
      <c r="I15" s="18" t="s">
        <v>73</v>
      </c>
      <c r="J15" s="18" t="s">
        <v>73</v>
      </c>
      <c r="K15" s="18" t="s">
        <v>73</v>
      </c>
      <c r="L15" s="2" t="s">
        <v>111</v>
      </c>
      <c r="N15" s="42" t="s">
        <v>154</v>
      </c>
      <c r="O15" s="43">
        <v>196254</v>
      </c>
      <c r="P15" s="44">
        <v>789</v>
      </c>
      <c r="Q15" s="44">
        <v>584</v>
      </c>
    </row>
    <row r="16" spans="1:17" x14ac:dyDescent="0.25">
      <c r="A16" s="2" t="s">
        <v>84</v>
      </c>
      <c r="B16" s="2" t="s">
        <v>85</v>
      </c>
      <c r="C16" s="3">
        <v>4</v>
      </c>
      <c r="D16" s="3">
        <v>157</v>
      </c>
      <c r="E16" s="3">
        <v>157</v>
      </c>
      <c r="F16" s="3">
        <v>27</v>
      </c>
      <c r="G16" s="3">
        <v>15</v>
      </c>
      <c r="H16" s="14" t="s">
        <v>42</v>
      </c>
      <c r="I16" s="16" t="s">
        <v>56</v>
      </c>
      <c r="J16" s="16" t="s">
        <v>57</v>
      </c>
      <c r="K16" s="5" t="s">
        <v>85</v>
      </c>
      <c r="L16" s="2" t="s">
        <v>86</v>
      </c>
    </row>
    <row r="17" spans="1:12" x14ac:dyDescent="0.25">
      <c r="A17" s="2" t="s">
        <v>94</v>
      </c>
      <c r="B17" s="2" t="s">
        <v>85</v>
      </c>
      <c r="C17" s="3">
        <v>3</v>
      </c>
      <c r="D17" s="3">
        <v>82</v>
      </c>
      <c r="E17" s="3">
        <v>81</v>
      </c>
      <c r="F17" s="3">
        <v>22</v>
      </c>
      <c r="G17" s="3">
        <v>4</v>
      </c>
      <c r="H17" s="14" t="s">
        <v>42</v>
      </c>
      <c r="I17" s="16" t="s">
        <v>56</v>
      </c>
      <c r="J17" s="16" t="s">
        <v>57</v>
      </c>
      <c r="K17" s="5" t="s">
        <v>85</v>
      </c>
      <c r="L17" s="2" t="s">
        <v>95</v>
      </c>
    </row>
    <row r="18" spans="1:12" x14ac:dyDescent="0.25">
      <c r="A18" s="2" t="s">
        <v>102</v>
      </c>
      <c r="B18" s="2" t="s">
        <v>85</v>
      </c>
      <c r="C18" s="3">
        <v>1</v>
      </c>
      <c r="D18" s="3">
        <v>11</v>
      </c>
      <c r="E18" s="3">
        <v>11</v>
      </c>
      <c r="F18" s="3">
        <v>4</v>
      </c>
      <c r="G18" s="3">
        <v>0</v>
      </c>
      <c r="H18" s="14" t="s">
        <v>42</v>
      </c>
      <c r="I18" s="16" t="s">
        <v>56</v>
      </c>
      <c r="J18" s="16" t="s">
        <v>57</v>
      </c>
      <c r="K18" s="5" t="s">
        <v>85</v>
      </c>
      <c r="L18" s="2" t="s">
        <v>103</v>
      </c>
    </row>
    <row r="19" spans="1:12" x14ac:dyDescent="0.25">
      <c r="A19" s="2" t="s">
        <v>40</v>
      </c>
      <c r="B19" s="2" t="s">
        <v>41</v>
      </c>
      <c r="C19" s="3">
        <v>5</v>
      </c>
      <c r="D19" s="3">
        <v>1618</v>
      </c>
      <c r="E19" s="3">
        <v>1472</v>
      </c>
      <c r="F19" s="3">
        <v>26</v>
      </c>
      <c r="G19" s="3">
        <v>26</v>
      </c>
      <c r="H19" s="14" t="s">
        <v>42</v>
      </c>
      <c r="I19" s="14" t="s">
        <v>43</v>
      </c>
      <c r="J19" s="15" t="s">
        <v>44</v>
      </c>
      <c r="K19" s="15" t="s">
        <v>43</v>
      </c>
      <c r="L19" s="2" t="s">
        <v>45</v>
      </c>
    </row>
    <row r="20" spans="1:12" x14ac:dyDescent="0.25">
      <c r="A20" s="2" t="s">
        <v>77</v>
      </c>
      <c r="B20" s="2" t="s">
        <v>41</v>
      </c>
      <c r="C20" s="3">
        <v>4</v>
      </c>
      <c r="D20" s="3">
        <v>293</v>
      </c>
      <c r="E20" s="3">
        <v>278</v>
      </c>
      <c r="F20" s="3">
        <v>27</v>
      </c>
      <c r="G20" s="3">
        <v>20</v>
      </c>
      <c r="H20" s="14" t="s">
        <v>42</v>
      </c>
      <c r="I20" s="14" t="s">
        <v>43</v>
      </c>
      <c r="J20" s="15" t="s">
        <v>44</v>
      </c>
      <c r="K20" s="15" t="s">
        <v>43</v>
      </c>
      <c r="L20" s="2" t="s">
        <v>78</v>
      </c>
    </row>
    <row r="21" spans="1:12" x14ac:dyDescent="0.25">
      <c r="A21" s="2" t="s">
        <v>89</v>
      </c>
      <c r="B21" s="2" t="s">
        <v>41</v>
      </c>
      <c r="C21" s="3">
        <v>3</v>
      </c>
      <c r="D21" s="3">
        <v>108</v>
      </c>
      <c r="E21" s="3">
        <v>104</v>
      </c>
      <c r="F21" s="3">
        <v>26</v>
      </c>
      <c r="G21" s="3">
        <v>7</v>
      </c>
      <c r="H21" s="14" t="s">
        <v>42</v>
      </c>
      <c r="I21" s="14" t="s">
        <v>43</v>
      </c>
      <c r="J21" s="15" t="s">
        <v>44</v>
      </c>
      <c r="K21" s="15" t="s">
        <v>43</v>
      </c>
      <c r="L21" s="2" t="s">
        <v>90</v>
      </c>
    </row>
    <row r="22" spans="1:12" x14ac:dyDescent="0.25">
      <c r="A22" s="2" t="s">
        <v>19</v>
      </c>
      <c r="B22" s="2" t="s">
        <v>20</v>
      </c>
      <c r="C22" s="3">
        <v>6</v>
      </c>
      <c r="D22" s="3">
        <v>28570</v>
      </c>
      <c r="E22" s="3">
        <v>22778</v>
      </c>
      <c r="F22" s="3">
        <v>27</v>
      </c>
      <c r="G22" s="3">
        <v>27</v>
      </c>
      <c r="H22" s="6" t="s">
        <v>16</v>
      </c>
      <c r="I22" s="7" t="s">
        <v>21</v>
      </c>
      <c r="J22" s="7" t="s">
        <v>22</v>
      </c>
      <c r="K22" s="7" t="s">
        <v>21</v>
      </c>
      <c r="L22" s="2" t="s">
        <v>23</v>
      </c>
    </row>
    <row r="23" spans="1:12" x14ac:dyDescent="0.25">
      <c r="A23" s="2" t="s">
        <v>33</v>
      </c>
      <c r="B23" s="2" t="s">
        <v>20</v>
      </c>
      <c r="C23" s="3">
        <v>5</v>
      </c>
      <c r="D23" s="3">
        <v>2928</v>
      </c>
      <c r="E23" s="3">
        <v>2554</v>
      </c>
      <c r="F23" s="3">
        <v>27</v>
      </c>
      <c r="G23" s="3">
        <v>27</v>
      </c>
      <c r="H23" s="11" t="s">
        <v>34</v>
      </c>
      <c r="I23" s="7" t="s">
        <v>21</v>
      </c>
      <c r="J23" s="12" t="s">
        <v>35</v>
      </c>
      <c r="K23" s="7" t="s">
        <v>21</v>
      </c>
      <c r="L23" s="2" t="s">
        <v>36</v>
      </c>
    </row>
    <row r="24" spans="1:12" x14ac:dyDescent="0.25">
      <c r="A24" s="2" t="s">
        <v>37</v>
      </c>
      <c r="B24" s="2" t="s">
        <v>20</v>
      </c>
      <c r="C24" s="3">
        <v>4</v>
      </c>
      <c r="D24" s="3">
        <v>2487</v>
      </c>
      <c r="E24" s="3">
        <v>2086</v>
      </c>
      <c r="F24" s="3">
        <v>27</v>
      </c>
      <c r="G24" s="3">
        <v>27</v>
      </c>
      <c r="H24" s="6" t="s">
        <v>16</v>
      </c>
      <c r="I24" s="7" t="s">
        <v>21</v>
      </c>
      <c r="J24" s="13" t="s">
        <v>38</v>
      </c>
      <c r="K24" s="48" t="s">
        <v>38</v>
      </c>
      <c r="L24" s="2" t="s">
        <v>39</v>
      </c>
    </row>
    <row r="25" spans="1:12" x14ac:dyDescent="0.25">
      <c r="A25" s="2" t="s">
        <v>106</v>
      </c>
      <c r="B25" s="2" t="s">
        <v>20</v>
      </c>
      <c r="C25" s="3">
        <v>3</v>
      </c>
      <c r="D25" s="3">
        <v>0</v>
      </c>
      <c r="E25" s="3">
        <v>0</v>
      </c>
      <c r="F25" s="3">
        <v>0</v>
      </c>
      <c r="G25" s="3">
        <v>0</v>
      </c>
      <c r="H25" s="11" t="s">
        <v>34</v>
      </c>
      <c r="I25" s="7" t="s">
        <v>21</v>
      </c>
      <c r="J25" s="12" t="s">
        <v>35</v>
      </c>
      <c r="K25" s="7" t="s">
        <v>21</v>
      </c>
      <c r="L25" s="2" t="s">
        <v>107</v>
      </c>
    </row>
    <row r="26" spans="1:12" x14ac:dyDescent="0.25">
      <c r="A26" s="2" t="s">
        <v>46</v>
      </c>
      <c r="B26" s="2" t="s">
        <v>47</v>
      </c>
      <c r="C26" s="3">
        <v>5</v>
      </c>
      <c r="D26" s="3">
        <v>1433</v>
      </c>
      <c r="E26" s="3">
        <v>1419</v>
      </c>
      <c r="F26" s="3">
        <v>27</v>
      </c>
      <c r="G26" s="3">
        <v>27</v>
      </c>
      <c r="H26" s="14" t="s">
        <v>42</v>
      </c>
      <c r="I26" s="14" t="s">
        <v>43</v>
      </c>
      <c r="J26" s="47" t="s">
        <v>48</v>
      </c>
      <c r="K26" s="14" t="s">
        <v>48</v>
      </c>
      <c r="L26" s="2" t="s">
        <v>49</v>
      </c>
    </row>
    <row r="27" spans="1:12" x14ac:dyDescent="0.25">
      <c r="A27" s="2" t="s">
        <v>59</v>
      </c>
      <c r="B27" s="2" t="s">
        <v>47</v>
      </c>
      <c r="C27" s="3">
        <v>4</v>
      </c>
      <c r="D27" s="3">
        <v>727</v>
      </c>
      <c r="E27" s="3">
        <v>691</v>
      </c>
      <c r="F27" s="3">
        <v>27</v>
      </c>
      <c r="G27" s="3">
        <v>26</v>
      </c>
      <c r="H27" s="14" t="s">
        <v>42</v>
      </c>
      <c r="I27" s="14" t="s">
        <v>43</v>
      </c>
      <c r="J27" s="14" t="s">
        <v>48</v>
      </c>
      <c r="K27" s="14" t="s">
        <v>48</v>
      </c>
      <c r="L27" s="2" t="s">
        <v>60</v>
      </c>
    </row>
    <row r="28" spans="1:12" x14ac:dyDescent="0.25">
      <c r="A28" s="2" t="s">
        <v>54</v>
      </c>
      <c r="B28" s="2" t="s">
        <v>55</v>
      </c>
      <c r="C28" s="3">
        <v>7</v>
      </c>
      <c r="D28" s="3">
        <v>947</v>
      </c>
      <c r="E28" s="3">
        <v>885</v>
      </c>
      <c r="F28" s="3">
        <v>27</v>
      </c>
      <c r="G28" s="3">
        <v>27</v>
      </c>
      <c r="H28" s="14" t="s">
        <v>42</v>
      </c>
      <c r="I28" s="16" t="s">
        <v>56</v>
      </c>
      <c r="J28" s="16" t="s">
        <v>57</v>
      </c>
      <c r="K28" s="16" t="s">
        <v>56</v>
      </c>
      <c r="L28" s="2" t="s">
        <v>58</v>
      </c>
    </row>
    <row r="29" spans="1:12" x14ac:dyDescent="0.25">
      <c r="A29" s="2" t="s">
        <v>61</v>
      </c>
      <c r="B29" s="2" t="s">
        <v>55</v>
      </c>
      <c r="C29" s="3">
        <v>6</v>
      </c>
      <c r="D29" s="3">
        <v>541</v>
      </c>
      <c r="E29" s="3">
        <v>525</v>
      </c>
      <c r="F29" s="3">
        <v>27</v>
      </c>
      <c r="G29" s="3">
        <v>27</v>
      </c>
      <c r="H29" s="17" t="s">
        <v>62</v>
      </c>
      <c r="I29" s="17" t="s">
        <v>63</v>
      </c>
      <c r="J29" s="17" t="s">
        <v>63</v>
      </c>
      <c r="K29" s="17" t="s">
        <v>63</v>
      </c>
      <c r="L29" s="2" t="s">
        <v>64</v>
      </c>
    </row>
    <row r="30" spans="1:12" x14ac:dyDescent="0.25">
      <c r="A30" s="2" t="s">
        <v>65</v>
      </c>
      <c r="B30" s="2" t="s">
        <v>55</v>
      </c>
      <c r="C30" s="3">
        <v>6</v>
      </c>
      <c r="D30" s="3">
        <v>576</v>
      </c>
      <c r="E30" s="3">
        <v>507</v>
      </c>
      <c r="F30" s="3">
        <v>27</v>
      </c>
      <c r="G30" s="3">
        <v>25</v>
      </c>
      <c r="H30" s="14" t="s">
        <v>42</v>
      </c>
      <c r="I30" s="16" t="s">
        <v>56</v>
      </c>
      <c r="J30" s="16" t="s">
        <v>57</v>
      </c>
      <c r="K30" s="16" t="s">
        <v>56</v>
      </c>
      <c r="L30" s="2" t="s">
        <v>66</v>
      </c>
    </row>
    <row r="31" spans="1:12" x14ac:dyDescent="0.25">
      <c r="A31" s="2" t="s">
        <v>67</v>
      </c>
      <c r="B31" s="2" t="s">
        <v>55</v>
      </c>
      <c r="C31" s="3">
        <v>4</v>
      </c>
      <c r="D31" s="3">
        <v>518</v>
      </c>
      <c r="E31" s="3">
        <v>494</v>
      </c>
      <c r="F31" s="3">
        <v>27</v>
      </c>
      <c r="G31" s="3">
        <v>25</v>
      </c>
      <c r="H31" s="14" t="s">
        <v>42</v>
      </c>
      <c r="I31" s="16" t="s">
        <v>56</v>
      </c>
      <c r="J31" s="16" t="s">
        <v>57</v>
      </c>
      <c r="K31" s="16" t="s">
        <v>56</v>
      </c>
      <c r="L31" s="2" t="s">
        <v>68</v>
      </c>
    </row>
    <row r="32" spans="1:12" x14ac:dyDescent="0.25">
      <c r="A32" s="2" t="s">
        <v>79</v>
      </c>
      <c r="B32" s="2" t="s">
        <v>55</v>
      </c>
      <c r="C32" s="3">
        <v>4</v>
      </c>
      <c r="D32" s="3">
        <v>308</v>
      </c>
      <c r="E32" s="3">
        <v>274</v>
      </c>
      <c r="F32" s="3">
        <v>27</v>
      </c>
      <c r="G32" s="3">
        <v>13</v>
      </c>
      <c r="H32" s="14" t="s">
        <v>42</v>
      </c>
      <c r="I32" s="16" t="s">
        <v>56</v>
      </c>
      <c r="J32" s="16" t="s">
        <v>57</v>
      </c>
      <c r="K32" s="16" t="s">
        <v>56</v>
      </c>
      <c r="L32" s="2" t="s">
        <v>80</v>
      </c>
    </row>
    <row r="33" spans="1:12" x14ac:dyDescent="0.25">
      <c r="A33" s="2" t="s">
        <v>100</v>
      </c>
      <c r="B33" s="2" t="s">
        <v>55</v>
      </c>
      <c r="C33" s="3">
        <v>3</v>
      </c>
      <c r="D33" s="3">
        <v>43</v>
      </c>
      <c r="E33" s="3">
        <v>35</v>
      </c>
      <c r="F33" s="3">
        <v>9</v>
      </c>
      <c r="G33" s="3">
        <v>2</v>
      </c>
      <c r="H33" s="14" t="s">
        <v>42</v>
      </c>
      <c r="I33" s="16" t="s">
        <v>56</v>
      </c>
      <c r="J33" s="16" t="s">
        <v>57</v>
      </c>
      <c r="K33" s="16" t="s">
        <v>56</v>
      </c>
      <c r="L33" s="2" t="s">
        <v>101</v>
      </c>
    </row>
    <row r="34" spans="1:12" x14ac:dyDescent="0.25">
      <c r="A34" s="2" t="s">
        <v>81</v>
      </c>
      <c r="B34" s="2" t="s">
        <v>82</v>
      </c>
      <c r="C34" s="3">
        <v>2</v>
      </c>
      <c r="D34" s="3">
        <v>182</v>
      </c>
      <c r="E34" s="3">
        <v>169</v>
      </c>
      <c r="F34" s="3">
        <v>25</v>
      </c>
      <c r="G34" s="3">
        <v>7</v>
      </c>
      <c r="H34" s="6" t="s">
        <v>16</v>
      </c>
      <c r="I34" s="7" t="s">
        <v>21</v>
      </c>
      <c r="J34" s="13" t="s">
        <v>38</v>
      </c>
      <c r="K34" s="6" t="s">
        <v>17</v>
      </c>
      <c r="L34" s="2" t="s">
        <v>83</v>
      </c>
    </row>
    <row r="35" spans="1:12" x14ac:dyDescent="0.25">
      <c r="A35" s="2" t="s">
        <v>87</v>
      </c>
      <c r="B35" s="2" t="s">
        <v>82</v>
      </c>
      <c r="C35" s="3">
        <v>5</v>
      </c>
      <c r="D35" s="3">
        <v>116</v>
      </c>
      <c r="E35" s="3">
        <v>105</v>
      </c>
      <c r="F35" s="3">
        <v>21</v>
      </c>
      <c r="G35" s="3">
        <v>6</v>
      </c>
      <c r="H35" s="14" t="s">
        <v>42</v>
      </c>
      <c r="I35" s="18" t="s">
        <v>73</v>
      </c>
      <c r="J35" s="18" t="s">
        <v>73</v>
      </c>
      <c r="K35" s="18" t="s">
        <v>73</v>
      </c>
      <c r="L35" s="2" t="s">
        <v>88</v>
      </c>
    </row>
    <row r="36" spans="1:12" x14ac:dyDescent="0.25">
      <c r="A36" s="2" t="s">
        <v>96</v>
      </c>
      <c r="B36" s="2" t="s">
        <v>82</v>
      </c>
      <c r="C36" s="3">
        <v>2</v>
      </c>
      <c r="D36" s="3">
        <v>65</v>
      </c>
      <c r="E36" s="3">
        <v>62</v>
      </c>
      <c r="F36" s="3">
        <v>20</v>
      </c>
      <c r="G36" s="3">
        <v>3</v>
      </c>
      <c r="H36" s="6" t="s">
        <v>16</v>
      </c>
      <c r="I36" s="18" t="s">
        <v>73</v>
      </c>
      <c r="J36" s="18" t="s">
        <v>73</v>
      </c>
      <c r="K36" s="18" t="s">
        <v>73</v>
      </c>
      <c r="L36" s="2" t="s">
        <v>97</v>
      </c>
    </row>
    <row r="37" spans="1:12" x14ac:dyDescent="0.25">
      <c r="A37" s="2" t="s">
        <v>108</v>
      </c>
      <c r="B37" s="2" t="s">
        <v>82</v>
      </c>
      <c r="C37" s="3">
        <v>1</v>
      </c>
      <c r="D37" s="3">
        <v>0</v>
      </c>
      <c r="E37" s="3">
        <v>0</v>
      </c>
      <c r="F37" s="3">
        <v>0</v>
      </c>
      <c r="G37" s="3">
        <v>0</v>
      </c>
      <c r="H37" s="14" t="s">
        <v>42</v>
      </c>
      <c r="I37" s="18" t="s">
        <v>73</v>
      </c>
      <c r="J37" s="18" t="s">
        <v>73</v>
      </c>
      <c r="K37" s="18" t="s">
        <v>73</v>
      </c>
      <c r="L37" s="2" t="s">
        <v>109</v>
      </c>
    </row>
    <row r="38" spans="1:12" x14ac:dyDescent="0.25">
      <c r="A38" s="19" t="s">
        <v>112</v>
      </c>
      <c r="B38" s="19"/>
      <c r="C38" s="20">
        <f>SUM(C2:C37)</f>
        <v>129</v>
      </c>
      <c r="D38" s="20">
        <f>SUM(D2:D37)</f>
        <v>226777</v>
      </c>
      <c r="E38" s="20">
        <f>SUM(E2:E37)</f>
        <v>196254</v>
      </c>
      <c r="F38" s="19"/>
      <c r="G38" s="19"/>
      <c r="H38" s="19"/>
      <c r="I38" s="19"/>
      <c r="J38" s="19"/>
      <c r="K38" s="19"/>
      <c r="L38" s="19"/>
    </row>
  </sheetData>
  <phoneticPr fontId="6" type="noConversion"/>
  <pageMargins left="0.75" right="0.75" top="1" bottom="1" header="0.5" footer="0.5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8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42" customWidth="1"/>
    <col min="2" max="2" width="34" customWidth="1"/>
    <col min="3" max="3" width="8" customWidth="1"/>
    <col min="4" max="4" width="16" customWidth="1"/>
    <col min="5" max="5" width="14" customWidth="1"/>
  </cols>
  <sheetData>
    <row r="1" spans="1:5" x14ac:dyDescent="0.25">
      <c r="A1" s="21" t="s">
        <v>0</v>
      </c>
      <c r="B1" s="21" t="s">
        <v>113</v>
      </c>
      <c r="C1" s="21" t="s">
        <v>2</v>
      </c>
      <c r="D1" s="21" t="s">
        <v>114</v>
      </c>
      <c r="E1" s="21" t="s">
        <v>115</v>
      </c>
    </row>
    <row r="2" spans="1:5" x14ac:dyDescent="0.25">
      <c r="A2" s="22" t="s">
        <v>11</v>
      </c>
      <c r="B2" s="22" t="s">
        <v>12</v>
      </c>
      <c r="C2" s="23">
        <v>3</v>
      </c>
      <c r="D2" s="23">
        <v>71291</v>
      </c>
      <c r="E2" s="23">
        <v>68614</v>
      </c>
    </row>
    <row r="3" spans="1:5" x14ac:dyDescent="0.25">
      <c r="A3" s="22" t="s">
        <v>15</v>
      </c>
      <c r="B3" s="22" t="s">
        <v>12</v>
      </c>
      <c r="C3" s="23">
        <v>3</v>
      </c>
      <c r="D3" s="23">
        <v>71763</v>
      </c>
      <c r="E3" s="23">
        <v>58700</v>
      </c>
    </row>
    <row r="4" spans="1:5" x14ac:dyDescent="0.25">
      <c r="A4" s="22" t="s">
        <v>19</v>
      </c>
      <c r="B4" s="22" t="s">
        <v>20</v>
      </c>
      <c r="C4" s="23">
        <v>6</v>
      </c>
      <c r="D4" s="23">
        <v>28570</v>
      </c>
      <c r="E4" s="23">
        <v>22778</v>
      </c>
    </row>
    <row r="5" spans="1:5" x14ac:dyDescent="0.25">
      <c r="A5" s="22" t="s">
        <v>24</v>
      </c>
      <c r="B5" s="22" t="s">
        <v>12</v>
      </c>
      <c r="C5" s="23">
        <v>3</v>
      </c>
      <c r="D5" s="23">
        <v>19351</v>
      </c>
      <c r="E5" s="23">
        <v>13003</v>
      </c>
    </row>
    <row r="6" spans="1:5" x14ac:dyDescent="0.25">
      <c r="A6" s="22" t="s">
        <v>28</v>
      </c>
      <c r="B6" s="22" t="s">
        <v>12</v>
      </c>
      <c r="C6" s="23">
        <v>4</v>
      </c>
      <c r="D6" s="23">
        <v>10441</v>
      </c>
      <c r="E6" s="23">
        <v>10271</v>
      </c>
    </row>
    <row r="7" spans="1:5" x14ac:dyDescent="0.25">
      <c r="A7" s="22" t="s">
        <v>30</v>
      </c>
      <c r="B7" s="22" t="s">
        <v>12</v>
      </c>
      <c r="C7" s="23">
        <v>4</v>
      </c>
      <c r="D7" s="23">
        <v>7328</v>
      </c>
      <c r="E7" s="23">
        <v>7283</v>
      </c>
    </row>
    <row r="8" spans="1:5" x14ac:dyDescent="0.25">
      <c r="A8" s="22" t="s">
        <v>33</v>
      </c>
      <c r="B8" s="22" t="s">
        <v>20</v>
      </c>
      <c r="C8" s="23">
        <v>5</v>
      </c>
      <c r="D8" s="23">
        <v>2928</v>
      </c>
      <c r="E8" s="23">
        <v>2554</v>
      </c>
    </row>
    <row r="9" spans="1:5" x14ac:dyDescent="0.25">
      <c r="A9" s="22" t="s">
        <v>37</v>
      </c>
      <c r="B9" s="22" t="s">
        <v>20</v>
      </c>
      <c r="C9" s="23">
        <v>4</v>
      </c>
      <c r="D9" s="23">
        <v>2487</v>
      </c>
      <c r="E9" s="23">
        <v>2086</v>
      </c>
    </row>
    <row r="10" spans="1:5" x14ac:dyDescent="0.25">
      <c r="A10" s="22" t="s">
        <v>40</v>
      </c>
      <c r="B10" s="22" t="s">
        <v>41</v>
      </c>
      <c r="C10" s="23">
        <v>5</v>
      </c>
      <c r="D10" s="23">
        <v>1618</v>
      </c>
      <c r="E10" s="23">
        <v>1472</v>
      </c>
    </row>
    <row r="11" spans="1:5" x14ac:dyDescent="0.25">
      <c r="A11" s="22" t="s">
        <v>46</v>
      </c>
      <c r="B11" s="22" t="s">
        <v>47</v>
      </c>
      <c r="C11" s="23">
        <v>5</v>
      </c>
      <c r="D11" s="23">
        <v>1433</v>
      </c>
      <c r="E11" s="23">
        <v>1419</v>
      </c>
    </row>
    <row r="12" spans="1:5" x14ac:dyDescent="0.25">
      <c r="A12" s="22" t="s">
        <v>50</v>
      </c>
      <c r="B12" s="22" t="s">
        <v>12</v>
      </c>
      <c r="C12" s="23">
        <v>6</v>
      </c>
      <c r="D12" s="23">
        <v>1278</v>
      </c>
      <c r="E12" s="23">
        <v>1273</v>
      </c>
    </row>
    <row r="13" spans="1:5" x14ac:dyDescent="0.25">
      <c r="A13" s="22" t="s">
        <v>52</v>
      </c>
      <c r="B13" s="22" t="s">
        <v>12</v>
      </c>
      <c r="C13" s="23">
        <v>2</v>
      </c>
      <c r="D13" s="23">
        <v>2240</v>
      </c>
      <c r="E13" s="23">
        <v>1158</v>
      </c>
    </row>
    <row r="14" spans="1:5" x14ac:dyDescent="0.25">
      <c r="A14" s="22" t="s">
        <v>54</v>
      </c>
      <c r="B14" s="22" t="s">
        <v>55</v>
      </c>
      <c r="C14" s="23">
        <v>7</v>
      </c>
      <c r="D14" s="23">
        <v>947</v>
      </c>
      <c r="E14" s="23">
        <v>885</v>
      </c>
    </row>
    <row r="15" spans="1:5" x14ac:dyDescent="0.25">
      <c r="A15" s="22" t="s">
        <v>59</v>
      </c>
      <c r="B15" s="22" t="s">
        <v>47</v>
      </c>
      <c r="C15" s="23">
        <v>4</v>
      </c>
      <c r="D15" s="23">
        <v>727</v>
      </c>
      <c r="E15" s="23">
        <v>691</v>
      </c>
    </row>
    <row r="16" spans="1:5" x14ac:dyDescent="0.25">
      <c r="A16" s="22" t="s">
        <v>61</v>
      </c>
      <c r="B16" s="22" t="s">
        <v>55</v>
      </c>
      <c r="C16" s="23">
        <v>6</v>
      </c>
      <c r="D16" s="23">
        <v>541</v>
      </c>
      <c r="E16" s="23">
        <v>525</v>
      </c>
    </row>
    <row r="17" spans="1:5" x14ac:dyDescent="0.25">
      <c r="A17" s="22" t="s">
        <v>65</v>
      </c>
      <c r="B17" s="22" t="s">
        <v>55</v>
      </c>
      <c r="C17" s="23">
        <v>6</v>
      </c>
      <c r="D17" s="23">
        <v>576</v>
      </c>
      <c r="E17" s="23">
        <v>507</v>
      </c>
    </row>
    <row r="18" spans="1:5" x14ac:dyDescent="0.25">
      <c r="A18" s="22" t="s">
        <v>67</v>
      </c>
      <c r="B18" s="22" t="s">
        <v>55</v>
      </c>
      <c r="C18" s="23">
        <v>4</v>
      </c>
      <c r="D18" s="23">
        <v>518</v>
      </c>
      <c r="E18" s="23">
        <v>494</v>
      </c>
    </row>
    <row r="19" spans="1:5" x14ac:dyDescent="0.25">
      <c r="A19" s="22" t="s">
        <v>69</v>
      </c>
      <c r="B19" s="22" t="s">
        <v>12</v>
      </c>
      <c r="C19" s="23">
        <v>2</v>
      </c>
      <c r="D19" s="23">
        <v>469</v>
      </c>
      <c r="E19" s="23">
        <v>415</v>
      </c>
    </row>
    <row r="20" spans="1:5" x14ac:dyDescent="0.25">
      <c r="A20" s="22" t="s">
        <v>71</v>
      </c>
      <c r="B20" s="22" t="s">
        <v>72</v>
      </c>
      <c r="C20" s="23">
        <v>3</v>
      </c>
      <c r="D20" s="23">
        <v>454</v>
      </c>
      <c r="E20" s="23">
        <v>410</v>
      </c>
    </row>
    <row r="21" spans="1:5" x14ac:dyDescent="0.25">
      <c r="A21" s="22" t="s">
        <v>75</v>
      </c>
      <c r="B21" s="22" t="s">
        <v>12</v>
      </c>
      <c r="C21" s="23">
        <v>3</v>
      </c>
      <c r="D21" s="23">
        <v>294</v>
      </c>
      <c r="E21" s="23">
        <v>291</v>
      </c>
    </row>
    <row r="22" spans="1:5" x14ac:dyDescent="0.25">
      <c r="A22" s="22" t="s">
        <v>77</v>
      </c>
      <c r="B22" s="22" t="s">
        <v>41</v>
      </c>
      <c r="C22" s="23">
        <v>4</v>
      </c>
      <c r="D22" s="23">
        <v>293</v>
      </c>
      <c r="E22" s="23">
        <v>278</v>
      </c>
    </row>
    <row r="23" spans="1:5" x14ac:dyDescent="0.25">
      <c r="A23" s="22" t="s">
        <v>79</v>
      </c>
      <c r="B23" s="22" t="s">
        <v>55</v>
      </c>
      <c r="C23" s="23">
        <v>4</v>
      </c>
      <c r="D23" s="23">
        <v>308</v>
      </c>
      <c r="E23" s="23">
        <v>274</v>
      </c>
    </row>
    <row r="24" spans="1:5" x14ac:dyDescent="0.25">
      <c r="A24" s="22" t="s">
        <v>81</v>
      </c>
      <c r="B24" s="22" t="s">
        <v>82</v>
      </c>
      <c r="C24" s="23">
        <v>2</v>
      </c>
      <c r="D24" s="23">
        <v>182</v>
      </c>
      <c r="E24" s="23">
        <v>169</v>
      </c>
    </row>
    <row r="25" spans="1:5" x14ac:dyDescent="0.25">
      <c r="A25" s="22" t="s">
        <v>84</v>
      </c>
      <c r="B25" s="22" t="s">
        <v>85</v>
      </c>
      <c r="C25" s="23">
        <v>4</v>
      </c>
      <c r="D25" s="23">
        <v>157</v>
      </c>
      <c r="E25" s="23">
        <v>157</v>
      </c>
    </row>
    <row r="26" spans="1:5" x14ac:dyDescent="0.25">
      <c r="A26" s="22" t="s">
        <v>87</v>
      </c>
      <c r="B26" s="22" t="s">
        <v>82</v>
      </c>
      <c r="C26" s="23">
        <v>5</v>
      </c>
      <c r="D26" s="23">
        <v>116</v>
      </c>
      <c r="E26" s="23">
        <v>105</v>
      </c>
    </row>
    <row r="27" spans="1:5" x14ac:dyDescent="0.25">
      <c r="A27" s="22" t="s">
        <v>89</v>
      </c>
      <c r="B27" s="22" t="s">
        <v>41</v>
      </c>
      <c r="C27" s="23">
        <v>3</v>
      </c>
      <c r="D27" s="23">
        <v>108</v>
      </c>
      <c r="E27" s="23">
        <v>104</v>
      </c>
    </row>
    <row r="28" spans="1:5" x14ac:dyDescent="0.25">
      <c r="A28" s="22" t="s">
        <v>91</v>
      </c>
      <c r="B28" s="22" t="s">
        <v>92</v>
      </c>
      <c r="C28" s="23">
        <v>6</v>
      </c>
      <c r="D28" s="23">
        <v>90</v>
      </c>
      <c r="E28" s="23">
        <v>87</v>
      </c>
    </row>
    <row r="29" spans="1:5" x14ac:dyDescent="0.25">
      <c r="A29" s="22" t="s">
        <v>94</v>
      </c>
      <c r="B29" s="22" t="s">
        <v>85</v>
      </c>
      <c r="C29" s="23">
        <v>3</v>
      </c>
      <c r="D29" s="23">
        <v>82</v>
      </c>
      <c r="E29" s="23">
        <v>81</v>
      </c>
    </row>
    <row r="30" spans="1:5" x14ac:dyDescent="0.25">
      <c r="A30" s="22" t="s">
        <v>96</v>
      </c>
      <c r="B30" s="22" t="s">
        <v>82</v>
      </c>
      <c r="C30" s="23">
        <v>2</v>
      </c>
      <c r="D30" s="23">
        <v>65</v>
      </c>
      <c r="E30" s="23">
        <v>62</v>
      </c>
    </row>
    <row r="31" spans="1:5" x14ac:dyDescent="0.25">
      <c r="A31" s="22" t="s">
        <v>98</v>
      </c>
      <c r="B31" s="22" t="s">
        <v>92</v>
      </c>
      <c r="C31" s="23">
        <v>1</v>
      </c>
      <c r="D31" s="23">
        <v>67</v>
      </c>
      <c r="E31" s="23">
        <v>61</v>
      </c>
    </row>
    <row r="32" spans="1:5" x14ac:dyDescent="0.25">
      <c r="A32" s="22" t="s">
        <v>100</v>
      </c>
      <c r="B32" s="22" t="s">
        <v>55</v>
      </c>
      <c r="C32" s="23">
        <v>3</v>
      </c>
      <c r="D32" s="23">
        <v>43</v>
      </c>
      <c r="E32" s="23">
        <v>35</v>
      </c>
    </row>
    <row r="33" spans="1:5" x14ac:dyDescent="0.25">
      <c r="A33" s="22" t="s">
        <v>102</v>
      </c>
      <c r="B33" s="22" t="s">
        <v>85</v>
      </c>
      <c r="C33" s="23">
        <v>1</v>
      </c>
      <c r="D33" s="23">
        <v>11</v>
      </c>
      <c r="E33" s="23">
        <v>11</v>
      </c>
    </row>
    <row r="34" spans="1:5" x14ac:dyDescent="0.25">
      <c r="A34" s="22" t="s">
        <v>104</v>
      </c>
      <c r="B34" s="22" t="s">
        <v>92</v>
      </c>
      <c r="C34" s="23">
        <v>1</v>
      </c>
      <c r="D34" s="23">
        <v>1</v>
      </c>
      <c r="E34" s="23">
        <v>1</v>
      </c>
    </row>
    <row r="35" spans="1:5" x14ac:dyDescent="0.25">
      <c r="A35" s="22" t="s">
        <v>106</v>
      </c>
      <c r="B35" s="22" t="s">
        <v>20</v>
      </c>
      <c r="C35" s="23">
        <v>3</v>
      </c>
      <c r="D35" s="23">
        <v>0</v>
      </c>
      <c r="E35" s="23">
        <v>0</v>
      </c>
    </row>
    <row r="36" spans="1:5" x14ac:dyDescent="0.25">
      <c r="A36" s="22" t="s">
        <v>108</v>
      </c>
      <c r="B36" s="22" t="s">
        <v>82</v>
      </c>
      <c r="C36" s="23">
        <v>1</v>
      </c>
      <c r="D36" s="23">
        <v>0</v>
      </c>
      <c r="E36" s="23">
        <v>0</v>
      </c>
    </row>
    <row r="37" spans="1:5" x14ac:dyDescent="0.25">
      <c r="A37" s="22" t="s">
        <v>110</v>
      </c>
      <c r="B37" s="22" t="s">
        <v>92</v>
      </c>
      <c r="C37" s="23">
        <v>1</v>
      </c>
      <c r="D37" s="23">
        <v>0</v>
      </c>
      <c r="E37" s="23">
        <v>0</v>
      </c>
    </row>
    <row r="38" spans="1:5" x14ac:dyDescent="0.25">
      <c r="A38" s="19" t="s">
        <v>112</v>
      </c>
      <c r="B38" s="19"/>
      <c r="C38" s="20">
        <f>SUM(C2:C37)</f>
        <v>129</v>
      </c>
      <c r="D38" s="20">
        <f>SUM(D2:D37)</f>
        <v>226777</v>
      </c>
      <c r="E38" s="20">
        <f>SUM(E2:E37)</f>
        <v>196254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workbookViewId="0"/>
  </sheetViews>
  <sheetFormatPr baseColWidth="10" defaultColWidth="9.140625" defaultRowHeight="15" x14ac:dyDescent="0.25"/>
  <cols>
    <col min="1" max="1" width="14" customWidth="1"/>
    <col min="2" max="2" width="22" customWidth="1"/>
    <col min="3" max="3" width="11" customWidth="1"/>
    <col min="4" max="4" width="16" customWidth="1"/>
  </cols>
  <sheetData>
    <row r="1" spans="1:4" x14ac:dyDescent="0.25">
      <c r="A1" s="21" t="s">
        <v>116</v>
      </c>
      <c r="B1" s="21" t="s">
        <v>117</v>
      </c>
      <c r="C1" s="21" t="s">
        <v>118</v>
      </c>
      <c r="D1" s="21" t="s">
        <v>119</v>
      </c>
    </row>
    <row r="2" spans="1:4" x14ac:dyDescent="0.25">
      <c r="A2" s="22" t="s">
        <v>120</v>
      </c>
      <c r="B2" s="22" t="s">
        <v>13</v>
      </c>
      <c r="C2" s="22" t="s">
        <v>121</v>
      </c>
      <c r="D2" s="24"/>
    </row>
    <row r="3" spans="1:4" x14ac:dyDescent="0.25">
      <c r="A3" s="22" t="s">
        <v>120</v>
      </c>
      <c r="B3" s="22" t="s">
        <v>25</v>
      </c>
      <c r="C3" s="22" t="s">
        <v>122</v>
      </c>
      <c r="D3" s="25"/>
    </row>
    <row r="4" spans="1:4" x14ac:dyDescent="0.25">
      <c r="A4" s="22" t="s">
        <v>120</v>
      </c>
      <c r="B4" s="22" t="s">
        <v>42</v>
      </c>
      <c r="C4" s="22" t="s">
        <v>123</v>
      </c>
      <c r="D4" s="26"/>
    </row>
    <row r="5" spans="1:4" x14ac:dyDescent="0.25">
      <c r="A5" s="22" t="s">
        <v>120</v>
      </c>
      <c r="B5" s="22" t="s">
        <v>62</v>
      </c>
      <c r="C5" s="22" t="s">
        <v>124</v>
      </c>
      <c r="D5" s="27"/>
    </row>
    <row r="6" spans="1:4" x14ac:dyDescent="0.25">
      <c r="A6" s="22" t="s">
        <v>120</v>
      </c>
      <c r="B6" s="22" t="s">
        <v>16</v>
      </c>
      <c r="C6" s="22" t="s">
        <v>125</v>
      </c>
      <c r="D6" s="28"/>
    </row>
    <row r="7" spans="1:4" x14ac:dyDescent="0.25">
      <c r="A7" s="22" t="s">
        <v>120</v>
      </c>
      <c r="B7" s="22" t="s">
        <v>34</v>
      </c>
      <c r="C7" s="22" t="s">
        <v>126</v>
      </c>
      <c r="D7" s="29"/>
    </row>
    <row r="8" spans="1:4" x14ac:dyDescent="0.25">
      <c r="A8" s="22" t="s">
        <v>8</v>
      </c>
      <c r="B8" s="22" t="s">
        <v>12</v>
      </c>
      <c r="C8" s="22" t="s">
        <v>121</v>
      </c>
      <c r="D8" s="24"/>
    </row>
    <row r="9" spans="1:4" x14ac:dyDescent="0.25">
      <c r="A9" s="22" t="s">
        <v>8</v>
      </c>
      <c r="B9" s="22" t="s">
        <v>17</v>
      </c>
      <c r="C9" s="22" t="s">
        <v>125</v>
      </c>
      <c r="D9" s="28"/>
    </row>
    <row r="10" spans="1:4" x14ac:dyDescent="0.25">
      <c r="A10" s="22" t="s">
        <v>8</v>
      </c>
      <c r="B10" s="22" t="s">
        <v>21</v>
      </c>
      <c r="C10" s="22" t="s">
        <v>127</v>
      </c>
      <c r="D10" s="30"/>
    </row>
    <row r="11" spans="1:4" x14ac:dyDescent="0.25">
      <c r="A11" s="22" t="s">
        <v>8</v>
      </c>
      <c r="B11" s="22" t="s">
        <v>26</v>
      </c>
      <c r="C11" s="22" t="s">
        <v>122</v>
      </c>
      <c r="D11" s="25"/>
    </row>
    <row r="12" spans="1:4" x14ac:dyDescent="0.25">
      <c r="A12" s="22" t="s">
        <v>8</v>
      </c>
      <c r="B12" s="22" t="s">
        <v>43</v>
      </c>
      <c r="C12" s="22" t="s">
        <v>123</v>
      </c>
      <c r="D12" s="26"/>
    </row>
    <row r="13" spans="1:4" x14ac:dyDescent="0.25">
      <c r="A13" s="22" t="s">
        <v>8</v>
      </c>
      <c r="B13" s="22" t="s">
        <v>56</v>
      </c>
      <c r="C13" s="22" t="s">
        <v>128</v>
      </c>
      <c r="D13" s="31"/>
    </row>
    <row r="14" spans="1:4" x14ac:dyDescent="0.25">
      <c r="A14" s="22" t="s">
        <v>8</v>
      </c>
      <c r="B14" s="22" t="s">
        <v>63</v>
      </c>
      <c r="C14" s="22" t="s">
        <v>124</v>
      </c>
      <c r="D14" s="27"/>
    </row>
    <row r="15" spans="1:4" x14ac:dyDescent="0.25">
      <c r="A15" s="22" t="s">
        <v>8</v>
      </c>
      <c r="B15" s="22" t="s">
        <v>73</v>
      </c>
      <c r="C15" s="22" t="s">
        <v>129</v>
      </c>
      <c r="D15" s="32"/>
    </row>
    <row r="16" spans="1:4" x14ac:dyDescent="0.25">
      <c r="A16" s="22" t="s">
        <v>9</v>
      </c>
      <c r="B16" s="22" t="s">
        <v>11</v>
      </c>
      <c r="C16" s="22" t="s">
        <v>130</v>
      </c>
      <c r="D16" s="33"/>
    </row>
    <row r="17" spans="1:4" x14ac:dyDescent="0.25">
      <c r="A17" s="22" t="s">
        <v>9</v>
      </c>
      <c r="B17" s="22" t="s">
        <v>28</v>
      </c>
      <c r="C17" s="22" t="s">
        <v>131</v>
      </c>
      <c r="D17" s="34"/>
    </row>
    <row r="18" spans="1:4" x14ac:dyDescent="0.25">
      <c r="A18" s="22" t="s">
        <v>9</v>
      </c>
      <c r="B18" s="22" t="s">
        <v>31</v>
      </c>
      <c r="C18" s="22" t="s">
        <v>132</v>
      </c>
      <c r="D18" s="35"/>
    </row>
    <row r="19" spans="1:4" x14ac:dyDescent="0.25">
      <c r="A19" s="22" t="s">
        <v>9</v>
      </c>
      <c r="B19" s="22" t="s">
        <v>17</v>
      </c>
      <c r="C19" s="22" t="s">
        <v>125</v>
      </c>
      <c r="D19" s="28"/>
    </row>
    <row r="20" spans="1:4" x14ac:dyDescent="0.25">
      <c r="A20" s="22" t="s">
        <v>9</v>
      </c>
      <c r="B20" s="22" t="s">
        <v>26</v>
      </c>
      <c r="C20" s="22" t="s">
        <v>122</v>
      </c>
      <c r="D20" s="25"/>
    </row>
    <row r="21" spans="1:4" x14ac:dyDescent="0.25">
      <c r="A21" s="22" t="s">
        <v>9</v>
      </c>
      <c r="B21" s="22" t="s">
        <v>22</v>
      </c>
      <c r="C21" s="22" t="s">
        <v>127</v>
      </c>
      <c r="D21" s="30"/>
    </row>
    <row r="22" spans="1:4" x14ac:dyDescent="0.25">
      <c r="A22" s="22" t="s">
        <v>9</v>
      </c>
      <c r="B22" s="22" t="s">
        <v>35</v>
      </c>
      <c r="C22" s="22" t="s">
        <v>133</v>
      </c>
      <c r="D22" s="36"/>
    </row>
    <row r="23" spans="1:4" x14ac:dyDescent="0.25">
      <c r="A23" s="22" t="s">
        <v>9</v>
      </c>
      <c r="B23" s="22" t="s">
        <v>38</v>
      </c>
      <c r="C23" s="22" t="s">
        <v>134</v>
      </c>
      <c r="D23" s="37"/>
    </row>
    <row r="24" spans="1:4" x14ac:dyDescent="0.25">
      <c r="A24" s="22" t="s">
        <v>9</v>
      </c>
      <c r="B24" s="22" t="s">
        <v>48</v>
      </c>
      <c r="C24" s="22" t="s">
        <v>123</v>
      </c>
      <c r="D24" s="26"/>
    </row>
    <row r="25" spans="1:4" x14ac:dyDescent="0.25">
      <c r="A25" s="22" t="s">
        <v>9</v>
      </c>
      <c r="B25" s="22" t="s">
        <v>44</v>
      </c>
      <c r="C25" s="22" t="s">
        <v>135</v>
      </c>
      <c r="D25" s="38"/>
    </row>
    <row r="26" spans="1:4" x14ac:dyDescent="0.25">
      <c r="A26" s="22" t="s">
        <v>9</v>
      </c>
      <c r="B26" s="22" t="s">
        <v>57</v>
      </c>
      <c r="C26" s="22" t="s">
        <v>128</v>
      </c>
      <c r="D26" s="31"/>
    </row>
    <row r="27" spans="1:4" x14ac:dyDescent="0.25">
      <c r="A27" s="22" t="s">
        <v>9</v>
      </c>
      <c r="B27" s="22" t="s">
        <v>63</v>
      </c>
      <c r="C27" s="22" t="s">
        <v>124</v>
      </c>
      <c r="D27" s="27"/>
    </row>
    <row r="28" spans="1:4" x14ac:dyDescent="0.25">
      <c r="A28" s="22" t="s">
        <v>9</v>
      </c>
      <c r="B28" s="22" t="s">
        <v>73</v>
      </c>
      <c r="C28" s="22" t="s">
        <v>129</v>
      </c>
      <c r="D28" s="32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workbookViewId="0"/>
  </sheetViews>
  <sheetFormatPr baseColWidth="10" defaultColWidth="9.140625" defaultRowHeight="15" x14ac:dyDescent="0.25"/>
  <cols>
    <col min="1" max="1" width="30" customWidth="1"/>
    <col min="2" max="2" width="95" customWidth="1"/>
  </cols>
  <sheetData>
    <row r="1" spans="1:2" x14ac:dyDescent="0.25">
      <c r="A1" s="21" t="s">
        <v>136</v>
      </c>
      <c r="B1" s="21" t="s">
        <v>137</v>
      </c>
    </row>
    <row r="2" spans="1:2" x14ac:dyDescent="0.25">
      <c r="A2" s="39" t="s">
        <v>138</v>
      </c>
      <c r="B2" s="39" t="s">
        <v>139</v>
      </c>
    </row>
    <row r="3" spans="1:2" ht="25.5" x14ac:dyDescent="0.25">
      <c r="A3" s="39" t="s">
        <v>140</v>
      </c>
      <c r="B3" s="39" t="s">
        <v>141</v>
      </c>
    </row>
    <row r="4" spans="1:2" ht="25.5" x14ac:dyDescent="0.25">
      <c r="A4" s="39" t="s">
        <v>142</v>
      </c>
      <c r="B4" s="39" t="s">
        <v>143</v>
      </c>
    </row>
    <row r="5" spans="1:2" x14ac:dyDescent="0.25">
      <c r="A5" s="39" t="s">
        <v>144</v>
      </c>
      <c r="B5" s="39" t="s">
        <v>145</v>
      </c>
    </row>
    <row r="6" spans="1:2" x14ac:dyDescent="0.25">
      <c r="A6" s="39" t="s">
        <v>146</v>
      </c>
      <c r="B6" s="39" t="s">
        <v>147</v>
      </c>
    </row>
    <row r="7" spans="1:2" x14ac:dyDescent="0.25">
      <c r="A7" s="39" t="s">
        <v>148</v>
      </c>
      <c r="B7" s="39" t="s">
        <v>149</v>
      </c>
    </row>
    <row r="8" spans="1:2" x14ac:dyDescent="0.25">
      <c r="A8" s="39" t="s">
        <v>150</v>
      </c>
      <c r="B8" s="39" t="s">
        <v>151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Розподіл</vt:lpstr>
      <vt:lpstr>Групи SSB</vt:lpstr>
      <vt:lpstr>Палітра</vt:lpstr>
      <vt:lpstr>Як користуватись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Denys Semeniuk</cp:lastModifiedBy>
  <dcterms:created xsi:type="dcterms:W3CDTF">2026-08-01T14:24:48Z</dcterms:created>
  <dcterms:modified xsi:type="dcterms:W3CDTF">2026-08-02T10:33:39Z</dcterms:modified>
</cp:coreProperties>
</file>